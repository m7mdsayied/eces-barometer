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ml.chartshapes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drawings/drawing11.xml" ContentType="application/vnd.openxmlformats-officedocument.drawingml.chartshape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2.xml" ContentType="application/vnd.openxmlformats-officedocument.drawingml.chartshapes+xml"/>
  <Override PartName="/xl/charts/chart18.xml" ContentType="application/vnd.openxmlformats-officedocument.drawingml.chart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802BF255-56D2-42BA-A5E0-74DB63947199}" xr6:coauthVersionLast="47" xr6:coauthVersionMax="47" xr10:uidLastSave="{00000000-0000-0000-0000-000000000000}"/>
  <bookViews>
    <workbookView xWindow="-120" yWindow="-120" windowWidth="20730" windowHeight="11160" tabRatio="813" activeTab="1" xr2:uid="{00000000-000D-0000-FFFF-FFFF00000000}"/>
  </bookViews>
  <sheets>
    <sheet name="BConstraints Fig 2-1 &amp; 2-2 " sheetId="4" r:id="rId1"/>
    <sheet name="Sectoral Constraints Fig 2-3 AR" sheetId="3" r:id="rId2"/>
    <sheet name="Sectoral Constraints Fig 2-3 EN" sheetId="13" r:id="rId3"/>
    <sheet name="Gov Priorities Fig 2-4 &amp; 2.5" sheetId="14" r:id="rId4"/>
    <sheet name="Sect. Gov Priorities Fig 2-6 AR" sheetId="15" r:id="rId5"/>
    <sheet name="Sect. Gov Priorities Fig 2-6 EN" sheetId="16" r:id="rId6"/>
    <sheet name="PExpections Fig 2-7 n" sheetId="18" r:id="rId7"/>
  </sheets>
  <definedNames>
    <definedName name="_xlnm._FilterDatabase" localSheetId="0" hidden="1">'BConstraints Fig 2-1 &amp; 2-2 '!$A$83:$D$84</definedName>
    <definedName name="_xlnm._FilterDatabase" localSheetId="3" hidden="1">'Gov Priorities Fig 2-4 &amp; 2.5'!#REF!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R6" i="16" l="1"/>
  <c r="DS6" i="16"/>
  <c r="DT6" i="16"/>
  <c r="DU6" i="16"/>
  <c r="DV6" i="16"/>
  <c r="DW6" i="16"/>
  <c r="DR7" i="16"/>
  <c r="DS7" i="16"/>
  <c r="DT7" i="16"/>
  <c r="DU7" i="16"/>
  <c r="DV7" i="16"/>
  <c r="DW7" i="16"/>
  <c r="DR8" i="16"/>
  <c r="DS8" i="16"/>
  <c r="DT8" i="16"/>
  <c r="DU8" i="16"/>
  <c r="DV8" i="16"/>
  <c r="DW8" i="16"/>
  <c r="DR9" i="16"/>
  <c r="DS9" i="16"/>
  <c r="DT9" i="16"/>
  <c r="DU9" i="16"/>
  <c r="DV9" i="16"/>
  <c r="DW9" i="16"/>
  <c r="DR10" i="16"/>
  <c r="DS10" i="16"/>
  <c r="DT10" i="16"/>
  <c r="DU10" i="16"/>
  <c r="DV10" i="16"/>
  <c r="DW10" i="16"/>
  <c r="DR11" i="16"/>
  <c r="DS11" i="16"/>
  <c r="DT11" i="16"/>
  <c r="DU11" i="16"/>
  <c r="DV11" i="16"/>
  <c r="DW11" i="16"/>
  <c r="DR12" i="16"/>
  <c r="DS12" i="16"/>
  <c r="DT12" i="16"/>
  <c r="DU12" i="16"/>
  <c r="DV12" i="16"/>
  <c r="DW12" i="16"/>
  <c r="DR13" i="16"/>
  <c r="DS13" i="16"/>
  <c r="DT13" i="16"/>
  <c r="DU13" i="16"/>
  <c r="DV13" i="16"/>
  <c r="DW13" i="16"/>
  <c r="DR14" i="16"/>
  <c r="DS14" i="16"/>
  <c r="DT14" i="16"/>
  <c r="DU14" i="16"/>
  <c r="DV14" i="16"/>
  <c r="DW14" i="16"/>
  <c r="DR15" i="16"/>
  <c r="DS15" i="16"/>
  <c r="DT15" i="16"/>
  <c r="DU15" i="16"/>
  <c r="DV15" i="16"/>
  <c r="DW15" i="16"/>
  <c r="DR16" i="16"/>
  <c r="DS16" i="16"/>
  <c r="DT16" i="16"/>
  <c r="DU16" i="16"/>
  <c r="DV16" i="16"/>
  <c r="DW16" i="16"/>
  <c r="DR17" i="16"/>
  <c r="DS17" i="16"/>
  <c r="DT17" i="16"/>
  <c r="DU17" i="16"/>
  <c r="DV17" i="16"/>
  <c r="DW17" i="16"/>
  <c r="DR18" i="16"/>
  <c r="DS18" i="16"/>
  <c r="DT18" i="16"/>
  <c r="DU18" i="16"/>
  <c r="DV18" i="16"/>
  <c r="DW18" i="16"/>
  <c r="DR19" i="16"/>
  <c r="DS19" i="16"/>
  <c r="DT19" i="16"/>
  <c r="DU19" i="16"/>
  <c r="DV19" i="16"/>
  <c r="DW19" i="16"/>
  <c r="DR6" i="13"/>
  <c r="DS6" i="13"/>
  <c r="DT6" i="13"/>
  <c r="DU6" i="13"/>
  <c r="DV6" i="13"/>
  <c r="DW6" i="13"/>
  <c r="DR7" i="13"/>
  <c r="DS7" i="13"/>
  <c r="DT7" i="13"/>
  <c r="DU7" i="13"/>
  <c r="DV7" i="13"/>
  <c r="DW7" i="13"/>
  <c r="DR8" i="13"/>
  <c r="DS8" i="13"/>
  <c r="DT8" i="13"/>
  <c r="DU8" i="13"/>
  <c r="DV8" i="13"/>
  <c r="DW8" i="13"/>
  <c r="DR9" i="13"/>
  <c r="DS9" i="13"/>
  <c r="DT9" i="13"/>
  <c r="DU9" i="13"/>
  <c r="DV9" i="13"/>
  <c r="DW9" i="13"/>
  <c r="DR10" i="13"/>
  <c r="DS10" i="13"/>
  <c r="DT10" i="13"/>
  <c r="DU10" i="13"/>
  <c r="DV10" i="13"/>
  <c r="DW10" i="13"/>
  <c r="DR11" i="13"/>
  <c r="DS11" i="13"/>
  <c r="DT11" i="13"/>
  <c r="DU11" i="13"/>
  <c r="DV11" i="13"/>
  <c r="DW11" i="13"/>
  <c r="DR12" i="13"/>
  <c r="DS12" i="13"/>
  <c r="DT12" i="13"/>
  <c r="DU12" i="13"/>
  <c r="DV12" i="13"/>
  <c r="DW12" i="13"/>
  <c r="DR13" i="13"/>
  <c r="DS13" i="13"/>
  <c r="DT13" i="13"/>
  <c r="DU13" i="13"/>
  <c r="DV13" i="13"/>
  <c r="DW13" i="13"/>
  <c r="DR14" i="13"/>
  <c r="DS14" i="13"/>
  <c r="DT14" i="13"/>
  <c r="DU14" i="13"/>
  <c r="DV14" i="13"/>
  <c r="DW14" i="13"/>
  <c r="DR15" i="13"/>
  <c r="DS15" i="13"/>
  <c r="DT15" i="13"/>
  <c r="DU15" i="13"/>
  <c r="DV15" i="13"/>
  <c r="DW15" i="13"/>
  <c r="DR16" i="13"/>
  <c r="DS16" i="13"/>
  <c r="DT16" i="13"/>
  <c r="DU16" i="13"/>
  <c r="DV16" i="13"/>
  <c r="DW16" i="13"/>
  <c r="DR17" i="13"/>
  <c r="DS17" i="13"/>
  <c r="DT17" i="13"/>
  <c r="DU17" i="13"/>
  <c r="DV17" i="13"/>
  <c r="DW17" i="13"/>
  <c r="DR18" i="13"/>
  <c r="DS18" i="13"/>
  <c r="DT18" i="13"/>
  <c r="DU18" i="13"/>
  <c r="DV18" i="13"/>
  <c r="DW18" i="13"/>
  <c r="DR19" i="13"/>
  <c r="DS19" i="13"/>
  <c r="DT19" i="13"/>
  <c r="DU19" i="13"/>
  <c r="DV19" i="13"/>
  <c r="DW19" i="13"/>
  <c r="DR20" i="13"/>
  <c r="DS20" i="13"/>
  <c r="DT20" i="13"/>
  <c r="DU20" i="13"/>
  <c r="DV20" i="13"/>
  <c r="DW20" i="13"/>
  <c r="DR21" i="13"/>
  <c r="DS21" i="13"/>
  <c r="DT21" i="13"/>
  <c r="DU21" i="13"/>
  <c r="DV21" i="13"/>
  <c r="DW21" i="13"/>
  <c r="DR22" i="13"/>
  <c r="DS22" i="13"/>
  <c r="DT22" i="13"/>
  <c r="DU22" i="13"/>
  <c r="DV22" i="13"/>
  <c r="DW22" i="13"/>
  <c r="DR23" i="13"/>
  <c r="DS23" i="13"/>
  <c r="DT23" i="13"/>
  <c r="DU23" i="13"/>
  <c r="DV23" i="13"/>
  <c r="DW23" i="13"/>
  <c r="DR24" i="13"/>
  <c r="DS24" i="13"/>
  <c r="DT24" i="13"/>
  <c r="DU24" i="13"/>
  <c r="DV24" i="13"/>
  <c r="DW24" i="13"/>
  <c r="B6" i="16" l="1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AY6" i="16"/>
  <c r="AZ6" i="16"/>
  <c r="BA6" i="16"/>
  <c r="BB6" i="16"/>
  <c r="BC6" i="16"/>
  <c r="BD6" i="16"/>
  <c r="BE6" i="16"/>
  <c r="BF6" i="16"/>
  <c r="BG6" i="16"/>
  <c r="BH6" i="16"/>
  <c r="BI6" i="16"/>
  <c r="BJ6" i="16"/>
  <c r="BK6" i="16"/>
  <c r="BL6" i="16"/>
  <c r="BM6" i="16"/>
  <c r="BN6" i="16"/>
  <c r="BO6" i="16"/>
  <c r="BP6" i="16"/>
  <c r="BQ6" i="16"/>
  <c r="BR6" i="16"/>
  <c r="BS6" i="16"/>
  <c r="BT6" i="16"/>
  <c r="BU6" i="16"/>
  <c r="BV6" i="16"/>
  <c r="BW6" i="16"/>
  <c r="BX6" i="16"/>
  <c r="BY6" i="16"/>
  <c r="BZ6" i="16"/>
  <c r="CA6" i="16"/>
  <c r="CB6" i="16"/>
  <c r="CC6" i="16"/>
  <c r="CD6" i="16"/>
  <c r="CE6" i="16"/>
  <c r="CF6" i="16"/>
  <c r="CG6" i="16"/>
  <c r="CH6" i="16"/>
  <c r="CI6" i="16"/>
  <c r="CJ6" i="16"/>
  <c r="CK6" i="16"/>
  <c r="CL6" i="16"/>
  <c r="CM6" i="16"/>
  <c r="CN6" i="16"/>
  <c r="CO6" i="16"/>
  <c r="CP6" i="16"/>
  <c r="CQ6" i="16"/>
  <c r="CR6" i="16"/>
  <c r="CS6" i="16"/>
  <c r="CT6" i="16"/>
  <c r="CU6" i="16"/>
  <c r="CV6" i="16"/>
  <c r="CW6" i="16"/>
  <c r="CX6" i="16"/>
  <c r="CY6" i="16"/>
  <c r="CZ6" i="16"/>
  <c r="DA6" i="16"/>
  <c r="DB6" i="16"/>
  <c r="DC6" i="16"/>
  <c r="DD6" i="16"/>
  <c r="DE6" i="16"/>
  <c r="DF6" i="16"/>
  <c r="DG6" i="16"/>
  <c r="DH6" i="16"/>
  <c r="DI6" i="16"/>
  <c r="DJ6" i="16"/>
  <c r="DK6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AK7" i="16"/>
  <c r="AL7" i="16"/>
  <c r="AM7" i="16"/>
  <c r="AN7" i="16"/>
  <c r="AO7" i="16"/>
  <c r="AP7" i="16"/>
  <c r="AQ7" i="16"/>
  <c r="AR7" i="16"/>
  <c r="AS7" i="16"/>
  <c r="AT7" i="16"/>
  <c r="AU7" i="16"/>
  <c r="AV7" i="16"/>
  <c r="AW7" i="16"/>
  <c r="AX7" i="16"/>
  <c r="AY7" i="16"/>
  <c r="AZ7" i="16"/>
  <c r="BA7" i="16"/>
  <c r="BB7" i="16"/>
  <c r="BC7" i="16"/>
  <c r="BD7" i="16"/>
  <c r="BE7" i="16"/>
  <c r="BF7" i="16"/>
  <c r="BG7" i="16"/>
  <c r="BH7" i="16"/>
  <c r="BI7" i="16"/>
  <c r="BJ7" i="16"/>
  <c r="BK7" i="16"/>
  <c r="BL7" i="16"/>
  <c r="BM7" i="16"/>
  <c r="BN7" i="16"/>
  <c r="BO7" i="16"/>
  <c r="BP7" i="16"/>
  <c r="BQ7" i="16"/>
  <c r="BR7" i="16"/>
  <c r="BS7" i="16"/>
  <c r="BT7" i="16"/>
  <c r="BU7" i="16"/>
  <c r="BV7" i="16"/>
  <c r="BW7" i="16"/>
  <c r="BX7" i="16"/>
  <c r="BY7" i="16"/>
  <c r="BZ7" i="16"/>
  <c r="CA7" i="16"/>
  <c r="CB7" i="16"/>
  <c r="CC7" i="16"/>
  <c r="CD7" i="16"/>
  <c r="CE7" i="16"/>
  <c r="CF7" i="16"/>
  <c r="CG7" i="16"/>
  <c r="CH7" i="16"/>
  <c r="CI7" i="16"/>
  <c r="CJ7" i="16"/>
  <c r="CK7" i="16"/>
  <c r="CL7" i="16"/>
  <c r="CM7" i="16"/>
  <c r="CN7" i="16"/>
  <c r="CO7" i="16"/>
  <c r="CP7" i="16"/>
  <c r="CQ7" i="16"/>
  <c r="CR7" i="16"/>
  <c r="CS7" i="16"/>
  <c r="CT7" i="16"/>
  <c r="CU7" i="16"/>
  <c r="CV7" i="16"/>
  <c r="CW7" i="16"/>
  <c r="CX7" i="16"/>
  <c r="CY7" i="16"/>
  <c r="CZ7" i="16"/>
  <c r="DA7" i="16"/>
  <c r="DB7" i="16"/>
  <c r="DC7" i="16"/>
  <c r="DD7" i="16"/>
  <c r="DE7" i="16"/>
  <c r="DF7" i="16"/>
  <c r="DG7" i="16"/>
  <c r="DH7" i="16"/>
  <c r="DI7" i="16"/>
  <c r="DJ7" i="16"/>
  <c r="DK7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8" i="16"/>
  <c r="BA8" i="16"/>
  <c r="BB8" i="16"/>
  <c r="BC8" i="16"/>
  <c r="BD8" i="16"/>
  <c r="BE8" i="16"/>
  <c r="BF8" i="16"/>
  <c r="BG8" i="16"/>
  <c r="BH8" i="16"/>
  <c r="BI8" i="16"/>
  <c r="BJ8" i="16"/>
  <c r="BK8" i="16"/>
  <c r="BL8" i="16"/>
  <c r="BM8" i="16"/>
  <c r="BN8" i="16"/>
  <c r="BO8" i="16"/>
  <c r="BP8" i="16"/>
  <c r="BQ8" i="16"/>
  <c r="BR8" i="16"/>
  <c r="BS8" i="16"/>
  <c r="BT8" i="16"/>
  <c r="BU8" i="16"/>
  <c r="BV8" i="16"/>
  <c r="BW8" i="16"/>
  <c r="BX8" i="16"/>
  <c r="BY8" i="16"/>
  <c r="BZ8" i="16"/>
  <c r="CA8" i="16"/>
  <c r="CB8" i="16"/>
  <c r="CC8" i="16"/>
  <c r="CD8" i="16"/>
  <c r="CE8" i="16"/>
  <c r="CF8" i="16"/>
  <c r="CG8" i="16"/>
  <c r="CH8" i="16"/>
  <c r="CI8" i="16"/>
  <c r="CJ8" i="16"/>
  <c r="CK8" i="16"/>
  <c r="CL8" i="16"/>
  <c r="CM8" i="16"/>
  <c r="CN8" i="16"/>
  <c r="CO8" i="16"/>
  <c r="CP8" i="16"/>
  <c r="CQ8" i="16"/>
  <c r="CR8" i="16"/>
  <c r="CS8" i="16"/>
  <c r="CT8" i="16"/>
  <c r="CU8" i="16"/>
  <c r="CV8" i="16"/>
  <c r="CW8" i="16"/>
  <c r="CX8" i="16"/>
  <c r="CY8" i="16"/>
  <c r="CZ8" i="16"/>
  <c r="DA8" i="16"/>
  <c r="DB8" i="16"/>
  <c r="DC8" i="16"/>
  <c r="DD8" i="16"/>
  <c r="DE8" i="16"/>
  <c r="DF8" i="16"/>
  <c r="DG8" i="16"/>
  <c r="DH8" i="16"/>
  <c r="DI8" i="16"/>
  <c r="DJ8" i="16"/>
  <c r="DK8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AS9" i="16"/>
  <c r="AT9" i="16"/>
  <c r="AU9" i="16"/>
  <c r="AV9" i="16"/>
  <c r="AW9" i="16"/>
  <c r="AX9" i="16"/>
  <c r="AY9" i="16"/>
  <c r="AZ9" i="16"/>
  <c r="BA9" i="16"/>
  <c r="BB9" i="16"/>
  <c r="BC9" i="16"/>
  <c r="BD9" i="16"/>
  <c r="BE9" i="16"/>
  <c r="BF9" i="16"/>
  <c r="BG9" i="16"/>
  <c r="BH9" i="16"/>
  <c r="BI9" i="16"/>
  <c r="BJ9" i="16"/>
  <c r="BK9" i="16"/>
  <c r="BL9" i="16"/>
  <c r="BM9" i="16"/>
  <c r="BN9" i="16"/>
  <c r="BO9" i="16"/>
  <c r="BP9" i="16"/>
  <c r="BQ9" i="16"/>
  <c r="BR9" i="16"/>
  <c r="BS9" i="16"/>
  <c r="BT9" i="16"/>
  <c r="BU9" i="16"/>
  <c r="BV9" i="16"/>
  <c r="BW9" i="16"/>
  <c r="BX9" i="16"/>
  <c r="BY9" i="16"/>
  <c r="BZ9" i="16"/>
  <c r="CA9" i="16"/>
  <c r="CB9" i="16"/>
  <c r="CC9" i="16"/>
  <c r="CD9" i="16"/>
  <c r="CE9" i="16"/>
  <c r="CF9" i="16"/>
  <c r="CG9" i="16"/>
  <c r="CH9" i="16"/>
  <c r="CI9" i="16"/>
  <c r="CJ9" i="16"/>
  <c r="CK9" i="16"/>
  <c r="CL9" i="16"/>
  <c r="CM9" i="16"/>
  <c r="CN9" i="16"/>
  <c r="CO9" i="16"/>
  <c r="CP9" i="16"/>
  <c r="CQ9" i="16"/>
  <c r="CR9" i="16"/>
  <c r="CS9" i="16"/>
  <c r="CT9" i="16"/>
  <c r="CU9" i="16"/>
  <c r="CV9" i="16"/>
  <c r="CW9" i="16"/>
  <c r="CX9" i="16"/>
  <c r="CY9" i="16"/>
  <c r="CZ9" i="16"/>
  <c r="DA9" i="16"/>
  <c r="DB9" i="16"/>
  <c r="DC9" i="16"/>
  <c r="DD9" i="16"/>
  <c r="DE9" i="16"/>
  <c r="DF9" i="16"/>
  <c r="DG9" i="16"/>
  <c r="DH9" i="16"/>
  <c r="DI9" i="16"/>
  <c r="DJ9" i="16"/>
  <c r="DK9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V10" i="16"/>
  <c r="AW10" i="16"/>
  <c r="AX10" i="16"/>
  <c r="AY10" i="16"/>
  <c r="AZ10" i="16"/>
  <c r="BA10" i="16"/>
  <c r="BB10" i="16"/>
  <c r="BC10" i="16"/>
  <c r="BD10" i="16"/>
  <c r="BE10" i="16"/>
  <c r="BF10" i="16"/>
  <c r="BG10" i="16"/>
  <c r="BH10" i="16"/>
  <c r="BI10" i="16"/>
  <c r="BJ10" i="16"/>
  <c r="BK10" i="16"/>
  <c r="BL10" i="16"/>
  <c r="BM10" i="16"/>
  <c r="BN10" i="16"/>
  <c r="BO10" i="16"/>
  <c r="BP10" i="16"/>
  <c r="BQ10" i="16"/>
  <c r="BR10" i="16"/>
  <c r="BS10" i="16"/>
  <c r="BT10" i="16"/>
  <c r="BU10" i="16"/>
  <c r="BV10" i="16"/>
  <c r="BW10" i="16"/>
  <c r="BX10" i="16"/>
  <c r="BY10" i="16"/>
  <c r="BZ10" i="16"/>
  <c r="CA10" i="16"/>
  <c r="CB10" i="16"/>
  <c r="CC10" i="16"/>
  <c r="CD10" i="16"/>
  <c r="CE10" i="16"/>
  <c r="CF10" i="16"/>
  <c r="CG10" i="16"/>
  <c r="CH10" i="16"/>
  <c r="CI10" i="16"/>
  <c r="CJ10" i="16"/>
  <c r="CK10" i="16"/>
  <c r="CL10" i="16"/>
  <c r="CM10" i="16"/>
  <c r="CN10" i="16"/>
  <c r="CO10" i="16"/>
  <c r="CP10" i="16"/>
  <c r="CQ10" i="16"/>
  <c r="CR10" i="16"/>
  <c r="CS10" i="16"/>
  <c r="CT10" i="16"/>
  <c r="CU10" i="16"/>
  <c r="CV10" i="16"/>
  <c r="CW10" i="16"/>
  <c r="CX10" i="16"/>
  <c r="CY10" i="16"/>
  <c r="CZ10" i="16"/>
  <c r="DA10" i="16"/>
  <c r="DB10" i="16"/>
  <c r="DC10" i="16"/>
  <c r="DD10" i="16"/>
  <c r="DE10" i="16"/>
  <c r="DF10" i="16"/>
  <c r="DG10" i="16"/>
  <c r="DH10" i="16"/>
  <c r="DI10" i="16"/>
  <c r="DJ10" i="16"/>
  <c r="DK10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AQ11" i="16"/>
  <c r="AR11" i="16"/>
  <c r="AS11" i="16"/>
  <c r="AT11" i="16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BG11" i="16"/>
  <c r="BH11" i="16"/>
  <c r="BI11" i="16"/>
  <c r="BJ11" i="16"/>
  <c r="BK11" i="16"/>
  <c r="BL11" i="16"/>
  <c r="BM11" i="16"/>
  <c r="BN11" i="16"/>
  <c r="BO11" i="16"/>
  <c r="BP11" i="16"/>
  <c r="BQ11" i="16"/>
  <c r="BR11" i="16"/>
  <c r="BS11" i="16"/>
  <c r="BT11" i="16"/>
  <c r="BU11" i="16"/>
  <c r="BV11" i="16"/>
  <c r="BW11" i="16"/>
  <c r="BX11" i="16"/>
  <c r="BY11" i="16"/>
  <c r="BZ11" i="16"/>
  <c r="CA11" i="16"/>
  <c r="CB11" i="16"/>
  <c r="CC11" i="16"/>
  <c r="CD11" i="16"/>
  <c r="CE11" i="16"/>
  <c r="CF11" i="16"/>
  <c r="CG11" i="16"/>
  <c r="CH11" i="16"/>
  <c r="CI11" i="16"/>
  <c r="CJ11" i="16"/>
  <c r="CK11" i="16"/>
  <c r="CL11" i="16"/>
  <c r="CM11" i="16"/>
  <c r="CN11" i="16"/>
  <c r="CO11" i="16"/>
  <c r="CP11" i="16"/>
  <c r="CQ11" i="16"/>
  <c r="CR11" i="16"/>
  <c r="CS11" i="16"/>
  <c r="CT11" i="16"/>
  <c r="CU11" i="16"/>
  <c r="CV11" i="16"/>
  <c r="CW11" i="16"/>
  <c r="CX11" i="16"/>
  <c r="CY11" i="16"/>
  <c r="CZ11" i="16"/>
  <c r="DA11" i="16"/>
  <c r="DB11" i="16"/>
  <c r="DC11" i="16"/>
  <c r="DD11" i="16"/>
  <c r="DE11" i="16"/>
  <c r="DF11" i="16"/>
  <c r="DG11" i="16"/>
  <c r="DH11" i="16"/>
  <c r="DI11" i="16"/>
  <c r="DJ11" i="16"/>
  <c r="DK11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AG12" i="16"/>
  <c r="AH12" i="16"/>
  <c r="AI12" i="16"/>
  <c r="AJ12" i="16"/>
  <c r="AK12" i="16"/>
  <c r="AL12" i="16"/>
  <c r="AM12" i="16"/>
  <c r="AN12" i="16"/>
  <c r="AO12" i="16"/>
  <c r="AP12" i="16"/>
  <c r="AQ12" i="16"/>
  <c r="AR12" i="16"/>
  <c r="AS12" i="16"/>
  <c r="AT12" i="16"/>
  <c r="AU12" i="16"/>
  <c r="AV12" i="16"/>
  <c r="AW12" i="16"/>
  <c r="AX12" i="16"/>
  <c r="AY12" i="16"/>
  <c r="AZ12" i="16"/>
  <c r="BA12" i="16"/>
  <c r="BB12" i="16"/>
  <c r="BC12" i="16"/>
  <c r="BD12" i="16"/>
  <c r="BE12" i="16"/>
  <c r="BF12" i="16"/>
  <c r="BG12" i="16"/>
  <c r="BH12" i="16"/>
  <c r="BI12" i="16"/>
  <c r="BJ12" i="16"/>
  <c r="BK12" i="16"/>
  <c r="BL12" i="16"/>
  <c r="BM12" i="16"/>
  <c r="BN12" i="16"/>
  <c r="BO12" i="16"/>
  <c r="BP12" i="16"/>
  <c r="BQ12" i="16"/>
  <c r="BR12" i="16"/>
  <c r="BS12" i="16"/>
  <c r="BT12" i="16"/>
  <c r="BU12" i="16"/>
  <c r="BV12" i="16"/>
  <c r="BW12" i="16"/>
  <c r="BX12" i="16"/>
  <c r="BY12" i="16"/>
  <c r="BZ12" i="16"/>
  <c r="CA12" i="16"/>
  <c r="CB12" i="16"/>
  <c r="CC12" i="16"/>
  <c r="CD12" i="16"/>
  <c r="CE12" i="16"/>
  <c r="CF12" i="16"/>
  <c r="CG12" i="16"/>
  <c r="CH12" i="16"/>
  <c r="CI12" i="16"/>
  <c r="CJ12" i="16"/>
  <c r="CK12" i="16"/>
  <c r="CL12" i="16"/>
  <c r="CM12" i="16"/>
  <c r="CN12" i="16"/>
  <c r="CO12" i="16"/>
  <c r="CP12" i="16"/>
  <c r="CQ12" i="16"/>
  <c r="CR12" i="16"/>
  <c r="CS12" i="16"/>
  <c r="CT12" i="16"/>
  <c r="CU12" i="16"/>
  <c r="CV12" i="16"/>
  <c r="CW12" i="16"/>
  <c r="CX12" i="16"/>
  <c r="CY12" i="16"/>
  <c r="CZ12" i="16"/>
  <c r="DA12" i="16"/>
  <c r="DB12" i="16"/>
  <c r="DC12" i="16"/>
  <c r="DD12" i="16"/>
  <c r="DE12" i="16"/>
  <c r="DF12" i="16"/>
  <c r="DG12" i="16"/>
  <c r="DH12" i="16"/>
  <c r="DI12" i="16"/>
  <c r="DJ12" i="16"/>
  <c r="DK12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AS13" i="16"/>
  <c r="AT13" i="16"/>
  <c r="AU13" i="16"/>
  <c r="AV13" i="16"/>
  <c r="AW13" i="16"/>
  <c r="AX13" i="16"/>
  <c r="AY13" i="16"/>
  <c r="AZ13" i="16"/>
  <c r="BA13" i="16"/>
  <c r="BB13" i="16"/>
  <c r="BC13" i="16"/>
  <c r="BD13" i="16"/>
  <c r="BE13" i="16"/>
  <c r="BF13" i="16"/>
  <c r="BG13" i="16"/>
  <c r="BH13" i="16"/>
  <c r="BI13" i="16"/>
  <c r="BJ13" i="16"/>
  <c r="BK13" i="16"/>
  <c r="BL13" i="16"/>
  <c r="BM13" i="16"/>
  <c r="BN13" i="16"/>
  <c r="BO13" i="16"/>
  <c r="BP13" i="16"/>
  <c r="BQ13" i="16"/>
  <c r="BR13" i="16"/>
  <c r="BS13" i="16"/>
  <c r="BT13" i="16"/>
  <c r="BU13" i="16"/>
  <c r="BV13" i="16"/>
  <c r="BW13" i="16"/>
  <c r="BX13" i="16"/>
  <c r="BY13" i="16"/>
  <c r="BZ13" i="16"/>
  <c r="CA13" i="16"/>
  <c r="CB13" i="16"/>
  <c r="CC13" i="16"/>
  <c r="CD13" i="16"/>
  <c r="CE13" i="16"/>
  <c r="CF13" i="16"/>
  <c r="CG13" i="16"/>
  <c r="CH13" i="16"/>
  <c r="CI13" i="16"/>
  <c r="CJ13" i="16"/>
  <c r="CK13" i="16"/>
  <c r="CL13" i="16"/>
  <c r="CM13" i="16"/>
  <c r="CN13" i="16"/>
  <c r="CO13" i="16"/>
  <c r="CP13" i="16"/>
  <c r="CQ13" i="16"/>
  <c r="CR13" i="16"/>
  <c r="CS13" i="16"/>
  <c r="CT13" i="16"/>
  <c r="CU13" i="16"/>
  <c r="CV13" i="16"/>
  <c r="CW13" i="16"/>
  <c r="CX13" i="16"/>
  <c r="CY13" i="16"/>
  <c r="CZ13" i="16"/>
  <c r="DA13" i="16"/>
  <c r="DB13" i="16"/>
  <c r="DC13" i="16"/>
  <c r="DD13" i="16"/>
  <c r="DE13" i="16"/>
  <c r="DF13" i="16"/>
  <c r="DG13" i="16"/>
  <c r="DH13" i="16"/>
  <c r="DI13" i="16"/>
  <c r="DJ13" i="16"/>
  <c r="DK13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H14" i="16"/>
  <c r="AI14" i="16"/>
  <c r="AJ14" i="16"/>
  <c r="AK14" i="16"/>
  <c r="AL14" i="16"/>
  <c r="AM14" i="16"/>
  <c r="AN14" i="16"/>
  <c r="AO14" i="16"/>
  <c r="AP14" i="16"/>
  <c r="AQ14" i="16"/>
  <c r="AR14" i="16"/>
  <c r="AS14" i="16"/>
  <c r="AT14" i="16"/>
  <c r="AU14" i="16"/>
  <c r="AV14" i="16"/>
  <c r="AW14" i="16"/>
  <c r="AX14" i="16"/>
  <c r="AY14" i="16"/>
  <c r="AZ14" i="16"/>
  <c r="BA14" i="16"/>
  <c r="BB14" i="16"/>
  <c r="BC14" i="16"/>
  <c r="BD14" i="16"/>
  <c r="BE14" i="16"/>
  <c r="BF14" i="16"/>
  <c r="BG14" i="16"/>
  <c r="BH14" i="16"/>
  <c r="BI14" i="16"/>
  <c r="BJ14" i="16"/>
  <c r="BK14" i="16"/>
  <c r="BL14" i="16"/>
  <c r="BM14" i="16"/>
  <c r="BN14" i="16"/>
  <c r="BO14" i="16"/>
  <c r="BP14" i="16"/>
  <c r="BQ14" i="16"/>
  <c r="BR14" i="16"/>
  <c r="BS14" i="16"/>
  <c r="BT14" i="16"/>
  <c r="BU14" i="16"/>
  <c r="BV14" i="16"/>
  <c r="BW14" i="16"/>
  <c r="BX14" i="16"/>
  <c r="BY14" i="16"/>
  <c r="BZ14" i="16"/>
  <c r="CA14" i="16"/>
  <c r="CB14" i="16"/>
  <c r="CC14" i="16"/>
  <c r="CD14" i="16"/>
  <c r="CE14" i="16"/>
  <c r="CF14" i="16"/>
  <c r="CG14" i="16"/>
  <c r="CH14" i="16"/>
  <c r="CI14" i="16"/>
  <c r="CJ14" i="16"/>
  <c r="CK14" i="16"/>
  <c r="CL14" i="16"/>
  <c r="CM14" i="16"/>
  <c r="CN14" i="16"/>
  <c r="CO14" i="16"/>
  <c r="CP14" i="16"/>
  <c r="CQ14" i="16"/>
  <c r="CR14" i="16"/>
  <c r="CS14" i="16"/>
  <c r="CT14" i="16"/>
  <c r="CU14" i="16"/>
  <c r="CV14" i="16"/>
  <c r="CW14" i="16"/>
  <c r="CX14" i="16"/>
  <c r="CY14" i="16"/>
  <c r="CZ14" i="16"/>
  <c r="DA14" i="16"/>
  <c r="DB14" i="16"/>
  <c r="DC14" i="16"/>
  <c r="DD14" i="16"/>
  <c r="DE14" i="16"/>
  <c r="DF14" i="16"/>
  <c r="DG14" i="16"/>
  <c r="DH14" i="16"/>
  <c r="DI14" i="16"/>
  <c r="DJ14" i="16"/>
  <c r="DK14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AM15" i="16"/>
  <c r="AN15" i="16"/>
  <c r="AO15" i="16"/>
  <c r="AP15" i="16"/>
  <c r="AQ15" i="16"/>
  <c r="AR15" i="16"/>
  <c r="AS15" i="16"/>
  <c r="AT15" i="16"/>
  <c r="AU15" i="16"/>
  <c r="AV15" i="16"/>
  <c r="AW15" i="16"/>
  <c r="AX15" i="16"/>
  <c r="AY15" i="16"/>
  <c r="AZ15" i="16"/>
  <c r="BA15" i="16"/>
  <c r="BB15" i="16"/>
  <c r="BC15" i="16"/>
  <c r="BD15" i="16"/>
  <c r="BE15" i="16"/>
  <c r="BF15" i="16"/>
  <c r="BG15" i="16"/>
  <c r="BH15" i="16"/>
  <c r="BI15" i="16"/>
  <c r="BJ15" i="16"/>
  <c r="BK15" i="16"/>
  <c r="BL15" i="16"/>
  <c r="BM15" i="16"/>
  <c r="BN15" i="16"/>
  <c r="BO15" i="16"/>
  <c r="BP15" i="16"/>
  <c r="BQ15" i="16"/>
  <c r="BR15" i="16"/>
  <c r="BS15" i="16"/>
  <c r="BT15" i="16"/>
  <c r="BU15" i="16"/>
  <c r="BV15" i="16"/>
  <c r="BW15" i="16"/>
  <c r="BX15" i="16"/>
  <c r="BY15" i="16"/>
  <c r="BZ15" i="16"/>
  <c r="CA15" i="16"/>
  <c r="CB15" i="16"/>
  <c r="CC15" i="16"/>
  <c r="CD15" i="16"/>
  <c r="CE15" i="16"/>
  <c r="CF15" i="16"/>
  <c r="CG15" i="16"/>
  <c r="CH15" i="16"/>
  <c r="CI15" i="16"/>
  <c r="CJ15" i="16"/>
  <c r="CK15" i="16"/>
  <c r="CL15" i="16"/>
  <c r="CM15" i="16"/>
  <c r="CN15" i="16"/>
  <c r="CO15" i="16"/>
  <c r="CP15" i="16"/>
  <c r="CQ15" i="16"/>
  <c r="CR15" i="16"/>
  <c r="CS15" i="16"/>
  <c r="CT15" i="16"/>
  <c r="CU15" i="16"/>
  <c r="CV15" i="16"/>
  <c r="CW15" i="16"/>
  <c r="CX15" i="16"/>
  <c r="CY15" i="16"/>
  <c r="CZ15" i="16"/>
  <c r="DA15" i="16"/>
  <c r="DB15" i="16"/>
  <c r="DC15" i="16"/>
  <c r="DD15" i="16"/>
  <c r="DE15" i="16"/>
  <c r="DF15" i="16"/>
  <c r="DG15" i="16"/>
  <c r="DH15" i="16"/>
  <c r="DI15" i="16"/>
  <c r="DJ15" i="16"/>
  <c r="DK15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P16" i="16"/>
  <c r="AQ16" i="16"/>
  <c r="AR16" i="16"/>
  <c r="AS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BF16" i="16"/>
  <c r="BG16" i="16"/>
  <c r="BH16" i="16"/>
  <c r="BI16" i="16"/>
  <c r="BJ16" i="16"/>
  <c r="BK16" i="16"/>
  <c r="BL16" i="16"/>
  <c r="BM16" i="16"/>
  <c r="BN16" i="16"/>
  <c r="BO16" i="16"/>
  <c r="BP16" i="16"/>
  <c r="BQ16" i="16"/>
  <c r="BR16" i="16"/>
  <c r="BS16" i="16"/>
  <c r="BT16" i="16"/>
  <c r="BU16" i="16"/>
  <c r="BV16" i="16"/>
  <c r="BW16" i="16"/>
  <c r="BX16" i="16"/>
  <c r="BY16" i="16"/>
  <c r="BZ16" i="16"/>
  <c r="CA16" i="16"/>
  <c r="CB16" i="16"/>
  <c r="CC16" i="16"/>
  <c r="CD16" i="16"/>
  <c r="CE16" i="16"/>
  <c r="CF16" i="16"/>
  <c r="CG16" i="16"/>
  <c r="CH16" i="16"/>
  <c r="CI16" i="16"/>
  <c r="CJ16" i="16"/>
  <c r="CK16" i="16"/>
  <c r="CL16" i="16"/>
  <c r="CM16" i="16"/>
  <c r="CN16" i="16"/>
  <c r="CO16" i="16"/>
  <c r="CP16" i="16"/>
  <c r="CQ16" i="16"/>
  <c r="CR16" i="16"/>
  <c r="CS16" i="16"/>
  <c r="CT16" i="16"/>
  <c r="CU16" i="16"/>
  <c r="CV16" i="16"/>
  <c r="CW16" i="16"/>
  <c r="CX16" i="16"/>
  <c r="CY16" i="16"/>
  <c r="CZ16" i="16"/>
  <c r="DA16" i="16"/>
  <c r="DB16" i="16"/>
  <c r="DC16" i="16"/>
  <c r="DD16" i="16"/>
  <c r="DE16" i="16"/>
  <c r="DF16" i="16"/>
  <c r="DG16" i="16"/>
  <c r="DH16" i="16"/>
  <c r="DI16" i="16"/>
  <c r="DJ16" i="16"/>
  <c r="DK16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BM17" i="16"/>
  <c r="BN17" i="16"/>
  <c r="BO17" i="16"/>
  <c r="BP17" i="16"/>
  <c r="BQ17" i="16"/>
  <c r="BR17" i="16"/>
  <c r="BS17" i="16"/>
  <c r="BT17" i="16"/>
  <c r="BU17" i="16"/>
  <c r="BV17" i="16"/>
  <c r="BW17" i="16"/>
  <c r="BX17" i="16"/>
  <c r="BY17" i="16"/>
  <c r="BZ17" i="16"/>
  <c r="CA17" i="16"/>
  <c r="CB17" i="16"/>
  <c r="CC17" i="16"/>
  <c r="CD17" i="16"/>
  <c r="CE17" i="16"/>
  <c r="CF17" i="16"/>
  <c r="CG17" i="16"/>
  <c r="CH17" i="16"/>
  <c r="CI17" i="16"/>
  <c r="CJ17" i="16"/>
  <c r="CK17" i="16"/>
  <c r="CL17" i="16"/>
  <c r="CM17" i="16"/>
  <c r="CN17" i="16"/>
  <c r="CO17" i="16"/>
  <c r="CP17" i="16"/>
  <c r="CQ17" i="16"/>
  <c r="CR17" i="16"/>
  <c r="CS17" i="16"/>
  <c r="CT17" i="16"/>
  <c r="CU17" i="16"/>
  <c r="CV17" i="16"/>
  <c r="CW17" i="16"/>
  <c r="CX17" i="16"/>
  <c r="CY17" i="16"/>
  <c r="CZ17" i="16"/>
  <c r="DA17" i="16"/>
  <c r="DB17" i="16"/>
  <c r="DC17" i="16"/>
  <c r="DD17" i="16"/>
  <c r="DE17" i="16"/>
  <c r="DF17" i="16"/>
  <c r="DG17" i="16"/>
  <c r="DH17" i="16"/>
  <c r="DI17" i="16"/>
  <c r="DJ17" i="16"/>
  <c r="DK17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AQ18" i="16"/>
  <c r="AR18" i="16"/>
  <c r="AS18" i="16"/>
  <c r="AT18" i="16"/>
  <c r="AU18" i="16"/>
  <c r="AV18" i="16"/>
  <c r="AW18" i="16"/>
  <c r="AX18" i="16"/>
  <c r="AY18" i="16"/>
  <c r="AZ18" i="16"/>
  <c r="BA18" i="16"/>
  <c r="BB18" i="16"/>
  <c r="BC18" i="16"/>
  <c r="BD18" i="16"/>
  <c r="BE18" i="16"/>
  <c r="BF18" i="16"/>
  <c r="BG18" i="16"/>
  <c r="BH18" i="16"/>
  <c r="BI18" i="16"/>
  <c r="BJ18" i="16"/>
  <c r="BK18" i="16"/>
  <c r="BL18" i="16"/>
  <c r="BM18" i="16"/>
  <c r="BN18" i="16"/>
  <c r="BO18" i="16"/>
  <c r="BP18" i="16"/>
  <c r="BQ18" i="16"/>
  <c r="BR18" i="16"/>
  <c r="BS18" i="16"/>
  <c r="BT18" i="16"/>
  <c r="BU18" i="16"/>
  <c r="BV18" i="16"/>
  <c r="BW18" i="16"/>
  <c r="BX18" i="16"/>
  <c r="BY18" i="16"/>
  <c r="BZ18" i="16"/>
  <c r="CA18" i="16"/>
  <c r="CB18" i="16"/>
  <c r="CC18" i="16"/>
  <c r="CD18" i="16"/>
  <c r="CE18" i="16"/>
  <c r="CF18" i="16"/>
  <c r="CG18" i="16"/>
  <c r="CH18" i="16"/>
  <c r="CI18" i="16"/>
  <c r="CJ18" i="16"/>
  <c r="CK18" i="16"/>
  <c r="CL18" i="16"/>
  <c r="CM18" i="16"/>
  <c r="CN18" i="16"/>
  <c r="CO18" i="16"/>
  <c r="CP18" i="16"/>
  <c r="CQ18" i="16"/>
  <c r="CR18" i="16"/>
  <c r="CS18" i="16"/>
  <c r="CT18" i="16"/>
  <c r="CU18" i="16"/>
  <c r="CV18" i="16"/>
  <c r="CW18" i="16"/>
  <c r="CX18" i="16"/>
  <c r="CY18" i="16"/>
  <c r="CZ18" i="16"/>
  <c r="DA18" i="16"/>
  <c r="DB18" i="16"/>
  <c r="DC18" i="16"/>
  <c r="DD18" i="16"/>
  <c r="DE18" i="16"/>
  <c r="DF18" i="16"/>
  <c r="DG18" i="16"/>
  <c r="DH18" i="16"/>
  <c r="DI18" i="16"/>
  <c r="DJ18" i="16"/>
  <c r="DK18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AQ19" i="16"/>
  <c r="AR19" i="16"/>
  <c r="AS19" i="16"/>
  <c r="AT19" i="16"/>
  <c r="AU19" i="16"/>
  <c r="AV19" i="16"/>
  <c r="AW19" i="16"/>
  <c r="AX19" i="16"/>
  <c r="AY19" i="16"/>
  <c r="AZ19" i="16"/>
  <c r="BA19" i="16"/>
  <c r="BB19" i="16"/>
  <c r="BC19" i="16"/>
  <c r="BD19" i="16"/>
  <c r="BE19" i="16"/>
  <c r="BF19" i="16"/>
  <c r="BG19" i="16"/>
  <c r="BH19" i="16"/>
  <c r="BI19" i="16"/>
  <c r="BJ19" i="16"/>
  <c r="BK19" i="16"/>
  <c r="BL19" i="16"/>
  <c r="BM19" i="16"/>
  <c r="BN19" i="16"/>
  <c r="BO19" i="16"/>
  <c r="BP19" i="16"/>
  <c r="BQ19" i="16"/>
  <c r="BR19" i="16"/>
  <c r="BS19" i="16"/>
  <c r="BT19" i="16"/>
  <c r="BU19" i="16"/>
  <c r="BV19" i="16"/>
  <c r="BW19" i="16"/>
  <c r="BX19" i="16"/>
  <c r="BY19" i="16"/>
  <c r="BZ19" i="16"/>
  <c r="CA19" i="16"/>
  <c r="CB19" i="16"/>
  <c r="CC19" i="16"/>
  <c r="CD19" i="16"/>
  <c r="CE19" i="16"/>
  <c r="CF19" i="16"/>
  <c r="CG19" i="16"/>
  <c r="CH19" i="16"/>
  <c r="CI19" i="16"/>
  <c r="CJ19" i="16"/>
  <c r="CK19" i="16"/>
  <c r="CL19" i="16"/>
  <c r="CM19" i="16"/>
  <c r="CN19" i="16"/>
  <c r="CO19" i="16"/>
  <c r="CP19" i="16"/>
  <c r="CQ19" i="16"/>
  <c r="CR19" i="16"/>
  <c r="CS19" i="16"/>
  <c r="CT19" i="16"/>
  <c r="CU19" i="16"/>
  <c r="CV19" i="16"/>
  <c r="CW19" i="16"/>
  <c r="CX19" i="16"/>
  <c r="CY19" i="16"/>
  <c r="CZ19" i="16"/>
  <c r="DA19" i="16"/>
  <c r="DB19" i="16"/>
  <c r="DC19" i="16"/>
  <c r="DD19" i="16"/>
  <c r="DE19" i="16"/>
  <c r="DF19" i="16"/>
  <c r="DG19" i="16"/>
  <c r="DH19" i="16"/>
  <c r="DI19" i="16"/>
  <c r="DJ19" i="16"/>
  <c r="DK19" i="16"/>
  <c r="DL7" i="16"/>
  <c r="DM7" i="16"/>
  <c r="DN7" i="16"/>
  <c r="DO7" i="16"/>
  <c r="DP7" i="16"/>
  <c r="DQ7" i="16"/>
  <c r="DL8" i="16"/>
  <c r="DM8" i="16"/>
  <c r="DN8" i="16"/>
  <c r="DO8" i="16"/>
  <c r="DP8" i="16"/>
  <c r="DQ8" i="16"/>
  <c r="DL9" i="16"/>
  <c r="DM9" i="16"/>
  <c r="DN9" i="16"/>
  <c r="DO9" i="16"/>
  <c r="DP9" i="16"/>
  <c r="DQ9" i="16"/>
  <c r="DL10" i="16"/>
  <c r="DM10" i="16"/>
  <c r="DN10" i="16"/>
  <c r="DO10" i="16"/>
  <c r="DP10" i="16"/>
  <c r="DQ10" i="16"/>
  <c r="DL11" i="16"/>
  <c r="DM11" i="16"/>
  <c r="DN11" i="16"/>
  <c r="DO11" i="16"/>
  <c r="DP11" i="16"/>
  <c r="DQ11" i="16"/>
  <c r="DL12" i="16"/>
  <c r="DM12" i="16"/>
  <c r="DN12" i="16"/>
  <c r="DO12" i="16"/>
  <c r="DP12" i="16"/>
  <c r="DQ12" i="16"/>
  <c r="DL13" i="16"/>
  <c r="DM13" i="16"/>
  <c r="DN13" i="16"/>
  <c r="DO13" i="16"/>
  <c r="DP13" i="16"/>
  <c r="DQ13" i="16"/>
  <c r="DL14" i="16"/>
  <c r="DM14" i="16"/>
  <c r="DN14" i="16"/>
  <c r="DO14" i="16"/>
  <c r="DP14" i="16"/>
  <c r="DQ14" i="16"/>
  <c r="DL15" i="16"/>
  <c r="DM15" i="16"/>
  <c r="DN15" i="16"/>
  <c r="DO15" i="16"/>
  <c r="DP15" i="16"/>
  <c r="DQ15" i="16"/>
  <c r="DL16" i="16"/>
  <c r="DM16" i="16"/>
  <c r="DN16" i="16"/>
  <c r="DO16" i="16"/>
  <c r="DP16" i="16"/>
  <c r="DQ16" i="16"/>
  <c r="DL17" i="16"/>
  <c r="DM17" i="16"/>
  <c r="DN17" i="16"/>
  <c r="DO17" i="16"/>
  <c r="DP17" i="16"/>
  <c r="DQ17" i="16"/>
  <c r="DL18" i="16"/>
  <c r="DM18" i="16"/>
  <c r="DN18" i="16"/>
  <c r="DO18" i="16"/>
  <c r="DP18" i="16"/>
  <c r="DQ18" i="16"/>
  <c r="DL19" i="16"/>
  <c r="DM19" i="16"/>
  <c r="DN19" i="16"/>
  <c r="DO19" i="16"/>
  <c r="DP19" i="16"/>
  <c r="DQ19" i="16"/>
  <c r="DM6" i="16"/>
  <c r="DN6" i="16"/>
  <c r="DO6" i="16"/>
  <c r="DP6" i="16"/>
  <c r="DQ6" i="16"/>
  <c r="DL6" i="16"/>
  <c r="DL6" i="13"/>
  <c r="DM6" i="13"/>
  <c r="DN6" i="13"/>
  <c r="DO6" i="13"/>
  <c r="DP6" i="13"/>
  <c r="DQ6" i="13"/>
  <c r="DL7" i="13"/>
  <c r="DM7" i="13"/>
  <c r="DN7" i="13"/>
  <c r="DO7" i="13"/>
  <c r="DP7" i="13"/>
  <c r="DQ7" i="13"/>
  <c r="DL8" i="13"/>
  <c r="DM8" i="13"/>
  <c r="DN8" i="13"/>
  <c r="DO8" i="13"/>
  <c r="DP8" i="13"/>
  <c r="DQ8" i="13"/>
  <c r="DL9" i="13"/>
  <c r="DM9" i="13"/>
  <c r="DN9" i="13"/>
  <c r="DO9" i="13"/>
  <c r="DP9" i="13"/>
  <c r="DQ9" i="13"/>
  <c r="DL10" i="13"/>
  <c r="DM10" i="13"/>
  <c r="DN10" i="13"/>
  <c r="DO10" i="13"/>
  <c r="DP10" i="13"/>
  <c r="DQ10" i="13"/>
  <c r="DL11" i="13"/>
  <c r="DM11" i="13"/>
  <c r="DN11" i="13"/>
  <c r="DO11" i="13"/>
  <c r="DP11" i="13"/>
  <c r="DQ11" i="13"/>
  <c r="DL12" i="13"/>
  <c r="DM12" i="13"/>
  <c r="DN12" i="13"/>
  <c r="DO12" i="13"/>
  <c r="DP12" i="13"/>
  <c r="DQ12" i="13"/>
  <c r="DL13" i="13"/>
  <c r="DM13" i="13"/>
  <c r="DN13" i="13"/>
  <c r="DO13" i="13"/>
  <c r="DP13" i="13"/>
  <c r="DQ13" i="13"/>
  <c r="DL14" i="13"/>
  <c r="DM14" i="13"/>
  <c r="DN14" i="13"/>
  <c r="DO14" i="13"/>
  <c r="DP14" i="13"/>
  <c r="DQ14" i="13"/>
  <c r="DL15" i="13"/>
  <c r="DM15" i="13"/>
  <c r="DN15" i="13"/>
  <c r="DO15" i="13"/>
  <c r="DP15" i="13"/>
  <c r="DQ15" i="13"/>
  <c r="DL16" i="13"/>
  <c r="DM16" i="13"/>
  <c r="DN16" i="13"/>
  <c r="DO16" i="13"/>
  <c r="DP16" i="13"/>
  <c r="DQ16" i="13"/>
  <c r="DL17" i="13"/>
  <c r="DM17" i="13"/>
  <c r="DN17" i="13"/>
  <c r="DO17" i="13"/>
  <c r="DP17" i="13"/>
  <c r="DQ17" i="13"/>
  <c r="DL18" i="13"/>
  <c r="DM18" i="13"/>
  <c r="DN18" i="13"/>
  <c r="DO18" i="13"/>
  <c r="DP18" i="13"/>
  <c r="DQ18" i="13"/>
  <c r="DL19" i="13"/>
  <c r="DM19" i="13"/>
  <c r="DN19" i="13"/>
  <c r="DO19" i="13"/>
  <c r="DP19" i="13"/>
  <c r="DQ19" i="13"/>
  <c r="DL20" i="13"/>
  <c r="DM20" i="13"/>
  <c r="DN20" i="13"/>
  <c r="DO20" i="13"/>
  <c r="DP20" i="13"/>
  <c r="DQ20" i="13"/>
  <c r="DL21" i="13"/>
  <c r="DM21" i="13"/>
  <c r="DN21" i="13"/>
  <c r="DO21" i="13"/>
  <c r="DP21" i="13"/>
  <c r="DQ21" i="13"/>
  <c r="DL22" i="13"/>
  <c r="DM22" i="13"/>
  <c r="DN22" i="13"/>
  <c r="DO22" i="13"/>
  <c r="DP22" i="13"/>
  <c r="DQ22" i="13"/>
  <c r="DL23" i="13"/>
  <c r="DM23" i="13"/>
  <c r="DN23" i="13"/>
  <c r="DO23" i="13"/>
  <c r="DP23" i="13"/>
  <c r="DQ23" i="13"/>
  <c r="DL24" i="13"/>
  <c r="DM24" i="13"/>
  <c r="DN24" i="13"/>
  <c r="DO24" i="13"/>
  <c r="DP24" i="13"/>
  <c r="DQ24" i="13"/>
  <c r="B6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AY6" i="13"/>
  <c r="AZ6" i="13"/>
  <c r="BA6" i="13"/>
  <c r="BB6" i="13"/>
  <c r="BC6" i="13"/>
  <c r="BD6" i="13"/>
  <c r="BE6" i="13"/>
  <c r="BF6" i="13"/>
  <c r="BG6" i="13"/>
  <c r="BH6" i="13"/>
  <c r="BI6" i="13"/>
  <c r="BJ6" i="13"/>
  <c r="BK6" i="13"/>
  <c r="BL6" i="13"/>
  <c r="BM6" i="13"/>
  <c r="BN6" i="13"/>
  <c r="BO6" i="13"/>
  <c r="BP6" i="13"/>
  <c r="BQ6" i="13"/>
  <c r="BR6" i="13"/>
  <c r="BS6" i="13"/>
  <c r="BT6" i="13"/>
  <c r="BU6" i="13"/>
  <c r="BV6" i="13"/>
  <c r="BW6" i="13"/>
  <c r="BX6" i="13"/>
  <c r="BY6" i="13"/>
  <c r="BZ6" i="13"/>
  <c r="CA6" i="13"/>
  <c r="CB6" i="13"/>
  <c r="CC6" i="13"/>
  <c r="CD6" i="13"/>
  <c r="CE6" i="13"/>
  <c r="CF6" i="13"/>
  <c r="CG6" i="13"/>
  <c r="CH6" i="13"/>
  <c r="CI6" i="13"/>
  <c r="CJ6" i="13"/>
  <c r="CK6" i="13"/>
  <c r="CL6" i="13"/>
  <c r="CM6" i="13"/>
  <c r="CN6" i="13"/>
  <c r="CO6" i="13"/>
  <c r="CP6" i="13"/>
  <c r="CQ6" i="13"/>
  <c r="CR6" i="13"/>
  <c r="CS6" i="13"/>
  <c r="CT6" i="13"/>
  <c r="CU6" i="13"/>
  <c r="CV6" i="13"/>
  <c r="CW6" i="13"/>
  <c r="CX6" i="13"/>
  <c r="CY6" i="13"/>
  <c r="CZ6" i="13"/>
  <c r="DA6" i="13"/>
  <c r="DB6" i="13"/>
  <c r="DC6" i="13"/>
  <c r="DD6" i="13"/>
  <c r="DE6" i="13"/>
  <c r="B7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AY7" i="13"/>
  <c r="AZ7" i="13"/>
  <c r="BA7" i="13"/>
  <c r="BB7" i="13"/>
  <c r="BC7" i="13"/>
  <c r="BD7" i="13"/>
  <c r="BE7" i="13"/>
  <c r="BF7" i="13"/>
  <c r="BG7" i="13"/>
  <c r="BH7" i="13"/>
  <c r="BI7" i="13"/>
  <c r="BJ7" i="13"/>
  <c r="BK7" i="13"/>
  <c r="BL7" i="13"/>
  <c r="BM7" i="13"/>
  <c r="BN7" i="13"/>
  <c r="BO7" i="13"/>
  <c r="BP7" i="13"/>
  <c r="BQ7" i="13"/>
  <c r="BR7" i="13"/>
  <c r="BS7" i="13"/>
  <c r="BT7" i="13"/>
  <c r="BU7" i="13"/>
  <c r="BV7" i="13"/>
  <c r="BW7" i="13"/>
  <c r="BX7" i="13"/>
  <c r="BY7" i="13"/>
  <c r="BZ7" i="13"/>
  <c r="CA7" i="13"/>
  <c r="CB7" i="13"/>
  <c r="CC7" i="13"/>
  <c r="CD7" i="13"/>
  <c r="CE7" i="13"/>
  <c r="CF7" i="13"/>
  <c r="CG7" i="13"/>
  <c r="CH7" i="13"/>
  <c r="CI7" i="13"/>
  <c r="CJ7" i="13"/>
  <c r="CK7" i="13"/>
  <c r="CL7" i="13"/>
  <c r="CM7" i="13"/>
  <c r="CN7" i="13"/>
  <c r="CO7" i="13"/>
  <c r="CP7" i="13"/>
  <c r="CQ7" i="13"/>
  <c r="CR7" i="13"/>
  <c r="CS7" i="13"/>
  <c r="CT7" i="13"/>
  <c r="CU7" i="13"/>
  <c r="CV7" i="13"/>
  <c r="CW7" i="13"/>
  <c r="CX7" i="13"/>
  <c r="CY7" i="13"/>
  <c r="CZ7" i="13"/>
  <c r="DA7" i="13"/>
  <c r="DB7" i="13"/>
  <c r="DC7" i="13"/>
  <c r="DD7" i="13"/>
  <c r="DE7" i="13"/>
  <c r="B8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AX8" i="13"/>
  <c r="AY8" i="13"/>
  <c r="AZ8" i="13"/>
  <c r="BA8" i="13"/>
  <c r="BB8" i="13"/>
  <c r="BC8" i="13"/>
  <c r="BD8" i="13"/>
  <c r="BE8" i="13"/>
  <c r="BF8" i="13"/>
  <c r="BG8" i="13"/>
  <c r="BH8" i="13"/>
  <c r="BI8" i="13"/>
  <c r="BJ8" i="13"/>
  <c r="BK8" i="13"/>
  <c r="BL8" i="13"/>
  <c r="BM8" i="13"/>
  <c r="BN8" i="13"/>
  <c r="BO8" i="13"/>
  <c r="BP8" i="13"/>
  <c r="BQ8" i="13"/>
  <c r="BR8" i="13"/>
  <c r="BS8" i="13"/>
  <c r="BT8" i="13"/>
  <c r="BU8" i="13"/>
  <c r="BV8" i="13"/>
  <c r="BW8" i="13"/>
  <c r="BX8" i="13"/>
  <c r="BY8" i="13"/>
  <c r="BZ8" i="13"/>
  <c r="CA8" i="13"/>
  <c r="CB8" i="13"/>
  <c r="CC8" i="13"/>
  <c r="CD8" i="13"/>
  <c r="CE8" i="13"/>
  <c r="CF8" i="13"/>
  <c r="CG8" i="13"/>
  <c r="CH8" i="13"/>
  <c r="CI8" i="13"/>
  <c r="CJ8" i="13"/>
  <c r="CK8" i="13"/>
  <c r="CL8" i="13"/>
  <c r="CM8" i="13"/>
  <c r="CN8" i="13"/>
  <c r="CO8" i="13"/>
  <c r="CP8" i="13"/>
  <c r="CQ8" i="13"/>
  <c r="CR8" i="13"/>
  <c r="CS8" i="13"/>
  <c r="CT8" i="13"/>
  <c r="CU8" i="13"/>
  <c r="CV8" i="13"/>
  <c r="CW8" i="13"/>
  <c r="CX8" i="13"/>
  <c r="CY8" i="13"/>
  <c r="CZ8" i="13"/>
  <c r="DA8" i="13"/>
  <c r="DB8" i="13"/>
  <c r="DC8" i="13"/>
  <c r="DD8" i="13"/>
  <c r="DE8" i="13"/>
  <c r="B9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V9" i="13"/>
  <c r="AW9" i="13"/>
  <c r="AX9" i="13"/>
  <c r="AY9" i="13"/>
  <c r="AZ9" i="13"/>
  <c r="BA9" i="13"/>
  <c r="BB9" i="13"/>
  <c r="BC9" i="13"/>
  <c r="BD9" i="13"/>
  <c r="BE9" i="13"/>
  <c r="BF9" i="13"/>
  <c r="BG9" i="13"/>
  <c r="BH9" i="13"/>
  <c r="BI9" i="13"/>
  <c r="BJ9" i="13"/>
  <c r="BK9" i="13"/>
  <c r="BL9" i="13"/>
  <c r="BM9" i="13"/>
  <c r="BN9" i="13"/>
  <c r="BO9" i="13"/>
  <c r="BP9" i="13"/>
  <c r="BQ9" i="13"/>
  <c r="BR9" i="13"/>
  <c r="BS9" i="13"/>
  <c r="BT9" i="13"/>
  <c r="BU9" i="13"/>
  <c r="BV9" i="13"/>
  <c r="BW9" i="13"/>
  <c r="BX9" i="13"/>
  <c r="BY9" i="13"/>
  <c r="BZ9" i="13"/>
  <c r="CA9" i="13"/>
  <c r="CB9" i="13"/>
  <c r="CC9" i="13"/>
  <c r="CD9" i="13"/>
  <c r="CE9" i="13"/>
  <c r="CF9" i="13"/>
  <c r="CG9" i="13"/>
  <c r="CH9" i="13"/>
  <c r="CI9" i="13"/>
  <c r="CJ9" i="13"/>
  <c r="CK9" i="13"/>
  <c r="CL9" i="13"/>
  <c r="CM9" i="13"/>
  <c r="CN9" i="13"/>
  <c r="CO9" i="13"/>
  <c r="CP9" i="13"/>
  <c r="CQ9" i="13"/>
  <c r="CR9" i="13"/>
  <c r="CS9" i="13"/>
  <c r="CT9" i="13"/>
  <c r="CU9" i="13"/>
  <c r="CV9" i="13"/>
  <c r="CW9" i="13"/>
  <c r="CX9" i="13"/>
  <c r="CY9" i="13"/>
  <c r="CZ9" i="13"/>
  <c r="DA9" i="13"/>
  <c r="DB9" i="13"/>
  <c r="DC9" i="13"/>
  <c r="DD9" i="13"/>
  <c r="DE9" i="13"/>
  <c r="B10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X10" i="13"/>
  <c r="AY10" i="13"/>
  <c r="AZ10" i="13"/>
  <c r="BA10" i="13"/>
  <c r="BB10" i="13"/>
  <c r="BC10" i="13"/>
  <c r="BD10" i="13"/>
  <c r="BE10" i="13"/>
  <c r="BF10" i="13"/>
  <c r="BG10" i="13"/>
  <c r="BH10" i="13"/>
  <c r="BI10" i="13"/>
  <c r="BJ10" i="13"/>
  <c r="BK10" i="13"/>
  <c r="BL10" i="13"/>
  <c r="BM10" i="13"/>
  <c r="BN10" i="13"/>
  <c r="BO10" i="13"/>
  <c r="BP10" i="13"/>
  <c r="BQ10" i="13"/>
  <c r="BR10" i="13"/>
  <c r="BS10" i="13"/>
  <c r="BT10" i="13"/>
  <c r="BU10" i="13"/>
  <c r="BV10" i="13"/>
  <c r="BW10" i="13"/>
  <c r="BX10" i="13"/>
  <c r="BY10" i="13"/>
  <c r="BZ10" i="13"/>
  <c r="CA10" i="13"/>
  <c r="CB10" i="13"/>
  <c r="CC10" i="13"/>
  <c r="CD10" i="13"/>
  <c r="CE10" i="13"/>
  <c r="CF10" i="13"/>
  <c r="CG10" i="13"/>
  <c r="CH10" i="13"/>
  <c r="CI10" i="13"/>
  <c r="CJ10" i="13"/>
  <c r="CK10" i="13"/>
  <c r="CL10" i="13"/>
  <c r="CM10" i="13"/>
  <c r="CN10" i="13"/>
  <c r="CO10" i="13"/>
  <c r="CP10" i="13"/>
  <c r="CQ10" i="13"/>
  <c r="CR10" i="13"/>
  <c r="CS10" i="13"/>
  <c r="CT10" i="13"/>
  <c r="CU10" i="13"/>
  <c r="CV10" i="13"/>
  <c r="CW10" i="13"/>
  <c r="CX10" i="13"/>
  <c r="CY10" i="13"/>
  <c r="CZ10" i="13"/>
  <c r="DA10" i="13"/>
  <c r="DB10" i="13"/>
  <c r="DC10" i="13"/>
  <c r="DD10" i="13"/>
  <c r="DE10" i="13"/>
  <c r="B11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X11" i="13"/>
  <c r="AY11" i="13"/>
  <c r="AZ11" i="13"/>
  <c r="BA11" i="13"/>
  <c r="BB11" i="13"/>
  <c r="BC11" i="13"/>
  <c r="BD11" i="13"/>
  <c r="BE11" i="13"/>
  <c r="BF11" i="13"/>
  <c r="BG11" i="13"/>
  <c r="BH11" i="13"/>
  <c r="BI11" i="13"/>
  <c r="BJ11" i="13"/>
  <c r="BK11" i="13"/>
  <c r="BL11" i="13"/>
  <c r="BM11" i="13"/>
  <c r="BN11" i="13"/>
  <c r="BO11" i="13"/>
  <c r="BP11" i="13"/>
  <c r="BQ11" i="13"/>
  <c r="BR11" i="13"/>
  <c r="BS11" i="13"/>
  <c r="BT11" i="13"/>
  <c r="BU11" i="13"/>
  <c r="BV11" i="13"/>
  <c r="BW11" i="13"/>
  <c r="BX11" i="13"/>
  <c r="BY11" i="13"/>
  <c r="BZ11" i="13"/>
  <c r="CA11" i="13"/>
  <c r="CB11" i="13"/>
  <c r="CC11" i="13"/>
  <c r="CD11" i="13"/>
  <c r="CE11" i="13"/>
  <c r="CF11" i="13"/>
  <c r="CG11" i="13"/>
  <c r="CH11" i="13"/>
  <c r="CI11" i="13"/>
  <c r="CJ11" i="13"/>
  <c r="CK11" i="13"/>
  <c r="CL11" i="13"/>
  <c r="CM11" i="13"/>
  <c r="CN11" i="13"/>
  <c r="CO11" i="13"/>
  <c r="CP11" i="13"/>
  <c r="CQ11" i="13"/>
  <c r="CR11" i="13"/>
  <c r="CS11" i="13"/>
  <c r="CT11" i="13"/>
  <c r="CU11" i="13"/>
  <c r="CV11" i="13"/>
  <c r="CW11" i="13"/>
  <c r="CX11" i="13"/>
  <c r="CY11" i="13"/>
  <c r="CZ11" i="13"/>
  <c r="DA11" i="13"/>
  <c r="DB11" i="13"/>
  <c r="DC11" i="13"/>
  <c r="DD11" i="13"/>
  <c r="DE11" i="13"/>
  <c r="B12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X12" i="13"/>
  <c r="AY12" i="13"/>
  <c r="AZ12" i="13"/>
  <c r="BA12" i="13"/>
  <c r="BB12" i="13"/>
  <c r="BC12" i="13"/>
  <c r="BD12" i="13"/>
  <c r="BE12" i="13"/>
  <c r="BF12" i="13"/>
  <c r="BG12" i="13"/>
  <c r="BH12" i="13"/>
  <c r="BI12" i="13"/>
  <c r="BJ12" i="13"/>
  <c r="BK12" i="13"/>
  <c r="BL12" i="13"/>
  <c r="BM12" i="13"/>
  <c r="BN12" i="13"/>
  <c r="BO12" i="13"/>
  <c r="BP12" i="13"/>
  <c r="BQ12" i="13"/>
  <c r="BR12" i="13"/>
  <c r="BS12" i="13"/>
  <c r="BT12" i="13"/>
  <c r="BU12" i="13"/>
  <c r="BV12" i="13"/>
  <c r="BW12" i="13"/>
  <c r="BX12" i="13"/>
  <c r="BY12" i="13"/>
  <c r="BZ12" i="13"/>
  <c r="CA12" i="13"/>
  <c r="CB12" i="13"/>
  <c r="CC12" i="13"/>
  <c r="CD12" i="13"/>
  <c r="CE12" i="13"/>
  <c r="CF12" i="13"/>
  <c r="CG12" i="13"/>
  <c r="CH12" i="13"/>
  <c r="CI12" i="13"/>
  <c r="CJ12" i="13"/>
  <c r="CK12" i="13"/>
  <c r="CL12" i="13"/>
  <c r="CM12" i="13"/>
  <c r="CN12" i="13"/>
  <c r="CO12" i="13"/>
  <c r="CP12" i="13"/>
  <c r="CQ12" i="13"/>
  <c r="CR12" i="13"/>
  <c r="CS12" i="13"/>
  <c r="CT12" i="13"/>
  <c r="CU12" i="13"/>
  <c r="CV12" i="13"/>
  <c r="CW12" i="13"/>
  <c r="CX12" i="13"/>
  <c r="CY12" i="13"/>
  <c r="CZ12" i="13"/>
  <c r="DA12" i="13"/>
  <c r="DB12" i="13"/>
  <c r="DC12" i="13"/>
  <c r="DD12" i="13"/>
  <c r="DE12" i="13"/>
  <c r="B13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AX13" i="13"/>
  <c r="AY13" i="13"/>
  <c r="AZ13" i="13"/>
  <c r="BA13" i="13"/>
  <c r="BB13" i="13"/>
  <c r="BC13" i="13"/>
  <c r="BD13" i="13"/>
  <c r="BE13" i="13"/>
  <c r="BF13" i="13"/>
  <c r="BG13" i="13"/>
  <c r="BH13" i="13"/>
  <c r="BI13" i="13"/>
  <c r="BJ13" i="13"/>
  <c r="BK13" i="13"/>
  <c r="BL13" i="13"/>
  <c r="BM13" i="13"/>
  <c r="BN13" i="13"/>
  <c r="BO13" i="13"/>
  <c r="BP13" i="13"/>
  <c r="BQ13" i="13"/>
  <c r="BR13" i="13"/>
  <c r="BS13" i="13"/>
  <c r="BT13" i="13"/>
  <c r="BU13" i="13"/>
  <c r="BV13" i="13"/>
  <c r="BW13" i="13"/>
  <c r="BX13" i="13"/>
  <c r="BY13" i="13"/>
  <c r="BZ13" i="13"/>
  <c r="CA13" i="13"/>
  <c r="CB13" i="13"/>
  <c r="CC13" i="13"/>
  <c r="CD13" i="13"/>
  <c r="CE13" i="13"/>
  <c r="CF13" i="13"/>
  <c r="CG13" i="13"/>
  <c r="CH13" i="13"/>
  <c r="CI13" i="13"/>
  <c r="CJ13" i="13"/>
  <c r="CK13" i="13"/>
  <c r="CL13" i="13"/>
  <c r="CM13" i="13"/>
  <c r="CN13" i="13"/>
  <c r="CO13" i="13"/>
  <c r="CP13" i="13"/>
  <c r="CQ13" i="13"/>
  <c r="CR13" i="13"/>
  <c r="CS13" i="13"/>
  <c r="CT13" i="13"/>
  <c r="CU13" i="13"/>
  <c r="CV13" i="13"/>
  <c r="CW13" i="13"/>
  <c r="CX13" i="13"/>
  <c r="CY13" i="13"/>
  <c r="CZ13" i="13"/>
  <c r="DA13" i="13"/>
  <c r="DB13" i="13"/>
  <c r="DC13" i="13"/>
  <c r="DD13" i="13"/>
  <c r="DE13" i="13"/>
  <c r="B14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AY14" i="13"/>
  <c r="AZ14" i="13"/>
  <c r="BA14" i="13"/>
  <c r="BB14" i="13"/>
  <c r="BC14" i="13"/>
  <c r="BD14" i="13"/>
  <c r="BE14" i="13"/>
  <c r="BF14" i="13"/>
  <c r="BG14" i="13"/>
  <c r="BH14" i="13"/>
  <c r="BI14" i="13"/>
  <c r="BJ14" i="13"/>
  <c r="BK14" i="13"/>
  <c r="BL14" i="13"/>
  <c r="BM14" i="13"/>
  <c r="BN14" i="13"/>
  <c r="BO14" i="13"/>
  <c r="BP14" i="13"/>
  <c r="BQ14" i="13"/>
  <c r="BR14" i="13"/>
  <c r="BS14" i="13"/>
  <c r="BT14" i="13"/>
  <c r="BU14" i="13"/>
  <c r="BV14" i="13"/>
  <c r="BW14" i="13"/>
  <c r="BX14" i="13"/>
  <c r="BY14" i="13"/>
  <c r="BZ14" i="13"/>
  <c r="CA14" i="13"/>
  <c r="CB14" i="13"/>
  <c r="CC14" i="13"/>
  <c r="CD14" i="13"/>
  <c r="CE14" i="13"/>
  <c r="CF14" i="13"/>
  <c r="CG14" i="13"/>
  <c r="CH14" i="13"/>
  <c r="CI14" i="13"/>
  <c r="CJ14" i="13"/>
  <c r="CK14" i="13"/>
  <c r="CL14" i="13"/>
  <c r="CM14" i="13"/>
  <c r="CN14" i="13"/>
  <c r="CO14" i="13"/>
  <c r="CP14" i="13"/>
  <c r="CQ14" i="13"/>
  <c r="CR14" i="13"/>
  <c r="CS14" i="13"/>
  <c r="CT14" i="13"/>
  <c r="CU14" i="13"/>
  <c r="CV14" i="13"/>
  <c r="CW14" i="13"/>
  <c r="CX14" i="13"/>
  <c r="CY14" i="13"/>
  <c r="CZ14" i="13"/>
  <c r="DA14" i="13"/>
  <c r="DB14" i="13"/>
  <c r="DC14" i="13"/>
  <c r="DD14" i="13"/>
  <c r="DE14" i="13"/>
  <c r="B15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AX15" i="13"/>
  <c r="AY15" i="13"/>
  <c r="AZ15" i="13"/>
  <c r="BA15" i="13"/>
  <c r="BB15" i="13"/>
  <c r="BC15" i="13"/>
  <c r="BD15" i="13"/>
  <c r="BE15" i="13"/>
  <c r="BF15" i="13"/>
  <c r="BG15" i="13"/>
  <c r="BH15" i="13"/>
  <c r="BI15" i="13"/>
  <c r="BJ15" i="13"/>
  <c r="BK15" i="13"/>
  <c r="BL15" i="13"/>
  <c r="BM15" i="13"/>
  <c r="BN15" i="13"/>
  <c r="BO15" i="13"/>
  <c r="BP15" i="13"/>
  <c r="BQ15" i="13"/>
  <c r="BR15" i="13"/>
  <c r="BS15" i="13"/>
  <c r="BT15" i="13"/>
  <c r="BU15" i="13"/>
  <c r="BV15" i="13"/>
  <c r="BW15" i="13"/>
  <c r="BX15" i="13"/>
  <c r="BY15" i="13"/>
  <c r="BZ15" i="13"/>
  <c r="CA15" i="13"/>
  <c r="CB15" i="13"/>
  <c r="CC15" i="13"/>
  <c r="CD15" i="13"/>
  <c r="CE15" i="13"/>
  <c r="CF15" i="13"/>
  <c r="CG15" i="13"/>
  <c r="CH15" i="13"/>
  <c r="CI15" i="13"/>
  <c r="CJ15" i="13"/>
  <c r="CK15" i="13"/>
  <c r="CL15" i="13"/>
  <c r="CM15" i="13"/>
  <c r="CN15" i="13"/>
  <c r="CO15" i="13"/>
  <c r="CP15" i="13"/>
  <c r="CQ15" i="13"/>
  <c r="CR15" i="13"/>
  <c r="CS15" i="13"/>
  <c r="CT15" i="13"/>
  <c r="CU15" i="13"/>
  <c r="CV15" i="13"/>
  <c r="CW15" i="13"/>
  <c r="CX15" i="13"/>
  <c r="CY15" i="13"/>
  <c r="CZ15" i="13"/>
  <c r="DA15" i="13"/>
  <c r="DB15" i="13"/>
  <c r="DC15" i="13"/>
  <c r="DD15" i="13"/>
  <c r="DE15" i="13"/>
  <c r="B16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BN16" i="13"/>
  <c r="BO16" i="13"/>
  <c r="BP16" i="13"/>
  <c r="BQ16" i="13"/>
  <c r="BR16" i="13"/>
  <c r="BS16" i="13"/>
  <c r="BT16" i="13"/>
  <c r="BU16" i="13"/>
  <c r="BV16" i="13"/>
  <c r="BW16" i="13"/>
  <c r="BX16" i="13"/>
  <c r="BY16" i="13"/>
  <c r="BZ16" i="13"/>
  <c r="CA16" i="13"/>
  <c r="CB16" i="13"/>
  <c r="CC16" i="13"/>
  <c r="CD16" i="13"/>
  <c r="CE16" i="13"/>
  <c r="CF16" i="13"/>
  <c r="CG16" i="13"/>
  <c r="CH16" i="13"/>
  <c r="CI16" i="13"/>
  <c r="CJ16" i="13"/>
  <c r="CK16" i="13"/>
  <c r="CL16" i="13"/>
  <c r="CM16" i="13"/>
  <c r="CN16" i="13"/>
  <c r="CO16" i="13"/>
  <c r="CP16" i="13"/>
  <c r="CQ16" i="13"/>
  <c r="CR16" i="13"/>
  <c r="CS16" i="13"/>
  <c r="CT16" i="13"/>
  <c r="CU16" i="13"/>
  <c r="CV16" i="13"/>
  <c r="CW16" i="13"/>
  <c r="CX16" i="13"/>
  <c r="CY16" i="13"/>
  <c r="CZ16" i="13"/>
  <c r="DA16" i="13"/>
  <c r="DB16" i="13"/>
  <c r="DC16" i="13"/>
  <c r="DD16" i="13"/>
  <c r="DE16" i="13"/>
  <c r="B17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AY17" i="13"/>
  <c r="AZ17" i="13"/>
  <c r="BA17" i="13"/>
  <c r="BB17" i="13"/>
  <c r="BC17" i="13"/>
  <c r="BD17" i="13"/>
  <c r="BE17" i="13"/>
  <c r="BF17" i="13"/>
  <c r="BG17" i="13"/>
  <c r="BH17" i="13"/>
  <c r="BI17" i="13"/>
  <c r="BJ17" i="13"/>
  <c r="BK17" i="13"/>
  <c r="BL17" i="13"/>
  <c r="BM17" i="13"/>
  <c r="BN17" i="13"/>
  <c r="BO17" i="13"/>
  <c r="BP17" i="13"/>
  <c r="BQ17" i="13"/>
  <c r="BR17" i="13"/>
  <c r="BS17" i="13"/>
  <c r="BT17" i="13"/>
  <c r="BU17" i="13"/>
  <c r="BV17" i="13"/>
  <c r="BW17" i="13"/>
  <c r="BX17" i="13"/>
  <c r="BY17" i="13"/>
  <c r="BZ17" i="13"/>
  <c r="CA17" i="13"/>
  <c r="CB17" i="13"/>
  <c r="CC17" i="13"/>
  <c r="CD17" i="13"/>
  <c r="CE17" i="13"/>
  <c r="CF17" i="13"/>
  <c r="CG17" i="13"/>
  <c r="CH17" i="13"/>
  <c r="CI17" i="13"/>
  <c r="CJ17" i="13"/>
  <c r="CK17" i="13"/>
  <c r="CL17" i="13"/>
  <c r="CM17" i="13"/>
  <c r="CN17" i="13"/>
  <c r="CO17" i="13"/>
  <c r="CP17" i="13"/>
  <c r="CQ17" i="13"/>
  <c r="CR17" i="13"/>
  <c r="CS17" i="13"/>
  <c r="CT17" i="13"/>
  <c r="CU17" i="13"/>
  <c r="CV17" i="13"/>
  <c r="CW17" i="13"/>
  <c r="CX17" i="13"/>
  <c r="CY17" i="13"/>
  <c r="CZ17" i="13"/>
  <c r="DA17" i="13"/>
  <c r="DB17" i="13"/>
  <c r="DC17" i="13"/>
  <c r="DD17" i="13"/>
  <c r="DE17" i="13"/>
  <c r="B18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AX18" i="13"/>
  <c r="AY18" i="13"/>
  <c r="AZ18" i="13"/>
  <c r="BA18" i="13"/>
  <c r="BB18" i="13"/>
  <c r="BC18" i="13"/>
  <c r="BD18" i="13"/>
  <c r="BE18" i="13"/>
  <c r="BF18" i="13"/>
  <c r="BG18" i="13"/>
  <c r="BH18" i="13"/>
  <c r="BI18" i="13"/>
  <c r="BJ18" i="13"/>
  <c r="BK18" i="13"/>
  <c r="BL18" i="13"/>
  <c r="BM18" i="13"/>
  <c r="BN18" i="13"/>
  <c r="BO18" i="13"/>
  <c r="BP18" i="13"/>
  <c r="BQ18" i="13"/>
  <c r="BR18" i="13"/>
  <c r="BS18" i="13"/>
  <c r="BT18" i="13"/>
  <c r="BU18" i="13"/>
  <c r="BV18" i="13"/>
  <c r="BW18" i="13"/>
  <c r="BX18" i="13"/>
  <c r="BY18" i="13"/>
  <c r="BZ18" i="13"/>
  <c r="CA18" i="13"/>
  <c r="CB18" i="13"/>
  <c r="CC18" i="13"/>
  <c r="CD18" i="13"/>
  <c r="CE18" i="13"/>
  <c r="CF18" i="13"/>
  <c r="CG18" i="13"/>
  <c r="CH18" i="13"/>
  <c r="CI18" i="13"/>
  <c r="CJ18" i="13"/>
  <c r="CK18" i="13"/>
  <c r="CL18" i="13"/>
  <c r="CM18" i="13"/>
  <c r="CN18" i="13"/>
  <c r="CO18" i="13"/>
  <c r="CP18" i="13"/>
  <c r="CQ18" i="13"/>
  <c r="CR18" i="13"/>
  <c r="CS18" i="13"/>
  <c r="CT18" i="13"/>
  <c r="CU18" i="13"/>
  <c r="CV18" i="13"/>
  <c r="CW18" i="13"/>
  <c r="CX18" i="13"/>
  <c r="CY18" i="13"/>
  <c r="CZ18" i="13"/>
  <c r="DA18" i="13"/>
  <c r="DB18" i="13"/>
  <c r="DC18" i="13"/>
  <c r="DD18" i="13"/>
  <c r="DE18" i="13"/>
  <c r="B19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AU19" i="13"/>
  <c r="AV19" i="13"/>
  <c r="AW19" i="13"/>
  <c r="AX19" i="13"/>
  <c r="AY19" i="13"/>
  <c r="AZ19" i="13"/>
  <c r="BA19" i="13"/>
  <c r="BB19" i="13"/>
  <c r="BC19" i="13"/>
  <c r="BD19" i="13"/>
  <c r="BE19" i="13"/>
  <c r="BF19" i="13"/>
  <c r="BG19" i="13"/>
  <c r="BH19" i="13"/>
  <c r="BI19" i="13"/>
  <c r="BJ19" i="13"/>
  <c r="BK19" i="13"/>
  <c r="BL19" i="13"/>
  <c r="BM19" i="13"/>
  <c r="BN19" i="13"/>
  <c r="BO19" i="13"/>
  <c r="BP19" i="13"/>
  <c r="BQ19" i="13"/>
  <c r="BR19" i="13"/>
  <c r="BS19" i="13"/>
  <c r="BT19" i="13"/>
  <c r="BU19" i="13"/>
  <c r="BV19" i="13"/>
  <c r="BW19" i="13"/>
  <c r="BX19" i="13"/>
  <c r="BY19" i="13"/>
  <c r="BZ19" i="13"/>
  <c r="CA19" i="13"/>
  <c r="CB19" i="13"/>
  <c r="CC19" i="13"/>
  <c r="CD19" i="13"/>
  <c r="CE19" i="13"/>
  <c r="CF19" i="13"/>
  <c r="CG19" i="13"/>
  <c r="CH19" i="13"/>
  <c r="CI19" i="13"/>
  <c r="CJ19" i="13"/>
  <c r="CK19" i="13"/>
  <c r="CL19" i="13"/>
  <c r="CM19" i="13"/>
  <c r="CN19" i="13"/>
  <c r="CO19" i="13"/>
  <c r="CP19" i="13"/>
  <c r="CQ19" i="13"/>
  <c r="CR19" i="13"/>
  <c r="CS19" i="13"/>
  <c r="CT19" i="13"/>
  <c r="CU19" i="13"/>
  <c r="CV19" i="13"/>
  <c r="CW19" i="13"/>
  <c r="CX19" i="13"/>
  <c r="CY19" i="13"/>
  <c r="CZ19" i="13"/>
  <c r="DA19" i="13"/>
  <c r="DB19" i="13"/>
  <c r="DC19" i="13"/>
  <c r="DD19" i="13"/>
  <c r="DE19" i="13"/>
  <c r="B20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AU20" i="13"/>
  <c r="AV20" i="13"/>
  <c r="AW20" i="13"/>
  <c r="AX20" i="13"/>
  <c r="AY20" i="13"/>
  <c r="AZ20" i="13"/>
  <c r="BA20" i="13"/>
  <c r="BB20" i="13"/>
  <c r="BC20" i="13"/>
  <c r="BD20" i="13"/>
  <c r="BE20" i="13"/>
  <c r="BF20" i="13"/>
  <c r="BG20" i="13"/>
  <c r="BH20" i="13"/>
  <c r="BI20" i="13"/>
  <c r="BJ20" i="13"/>
  <c r="BK20" i="13"/>
  <c r="BL20" i="13"/>
  <c r="BM20" i="13"/>
  <c r="BN20" i="13"/>
  <c r="BO20" i="13"/>
  <c r="BP20" i="13"/>
  <c r="BQ20" i="13"/>
  <c r="BR20" i="13"/>
  <c r="BS20" i="13"/>
  <c r="BT20" i="13"/>
  <c r="BU20" i="13"/>
  <c r="BV20" i="13"/>
  <c r="BW20" i="13"/>
  <c r="BX20" i="13"/>
  <c r="BY20" i="13"/>
  <c r="BZ20" i="13"/>
  <c r="CA20" i="13"/>
  <c r="CB20" i="13"/>
  <c r="CC20" i="13"/>
  <c r="CD20" i="13"/>
  <c r="CE20" i="13"/>
  <c r="CF20" i="13"/>
  <c r="CG20" i="13"/>
  <c r="CH20" i="13"/>
  <c r="CI20" i="13"/>
  <c r="CJ20" i="13"/>
  <c r="CK20" i="13"/>
  <c r="CL20" i="13"/>
  <c r="CM20" i="13"/>
  <c r="CN20" i="13"/>
  <c r="CO20" i="13"/>
  <c r="CP20" i="13"/>
  <c r="CQ20" i="13"/>
  <c r="CR20" i="13"/>
  <c r="CS20" i="13"/>
  <c r="CT20" i="13"/>
  <c r="CU20" i="13"/>
  <c r="CV20" i="13"/>
  <c r="CW20" i="13"/>
  <c r="CX20" i="13"/>
  <c r="CY20" i="13"/>
  <c r="CZ20" i="13"/>
  <c r="DA20" i="13"/>
  <c r="DB20" i="13"/>
  <c r="DC20" i="13"/>
  <c r="DD20" i="13"/>
  <c r="DE20" i="13"/>
  <c r="B21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G21" i="13"/>
  <c r="BH21" i="13"/>
  <c r="BI21" i="13"/>
  <c r="BJ21" i="13"/>
  <c r="BK21" i="13"/>
  <c r="BL21" i="13"/>
  <c r="BM21" i="13"/>
  <c r="BN21" i="13"/>
  <c r="BO21" i="13"/>
  <c r="BP21" i="13"/>
  <c r="BQ21" i="13"/>
  <c r="BR21" i="13"/>
  <c r="BS21" i="13"/>
  <c r="BT21" i="13"/>
  <c r="BU21" i="13"/>
  <c r="BV21" i="13"/>
  <c r="BW21" i="13"/>
  <c r="BX21" i="13"/>
  <c r="BY21" i="13"/>
  <c r="BZ21" i="13"/>
  <c r="CA21" i="13"/>
  <c r="CB21" i="13"/>
  <c r="CC21" i="13"/>
  <c r="CD21" i="13"/>
  <c r="CE21" i="13"/>
  <c r="CF21" i="13"/>
  <c r="CG21" i="13"/>
  <c r="CH21" i="13"/>
  <c r="CI21" i="13"/>
  <c r="CJ21" i="13"/>
  <c r="CK21" i="13"/>
  <c r="CL21" i="13"/>
  <c r="CM21" i="13"/>
  <c r="CN21" i="13"/>
  <c r="CO21" i="13"/>
  <c r="CP21" i="13"/>
  <c r="CQ21" i="13"/>
  <c r="CR21" i="13"/>
  <c r="CS21" i="13"/>
  <c r="CT21" i="13"/>
  <c r="CU21" i="13"/>
  <c r="CV21" i="13"/>
  <c r="CW21" i="13"/>
  <c r="CX21" i="13"/>
  <c r="CY21" i="13"/>
  <c r="CZ21" i="13"/>
  <c r="DA21" i="13"/>
  <c r="DB21" i="13"/>
  <c r="DC21" i="13"/>
  <c r="DD21" i="13"/>
  <c r="DE21" i="13"/>
  <c r="B22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AU22" i="13"/>
  <c r="AV22" i="13"/>
  <c r="AW22" i="13"/>
  <c r="AX22" i="13"/>
  <c r="AY22" i="13"/>
  <c r="AZ22" i="13"/>
  <c r="BA22" i="13"/>
  <c r="BB22" i="13"/>
  <c r="BC22" i="13"/>
  <c r="BD22" i="13"/>
  <c r="BE22" i="13"/>
  <c r="BF22" i="13"/>
  <c r="BG22" i="13"/>
  <c r="BH22" i="13"/>
  <c r="BI22" i="13"/>
  <c r="BJ22" i="13"/>
  <c r="BK22" i="13"/>
  <c r="BL22" i="13"/>
  <c r="BM22" i="13"/>
  <c r="BN22" i="13"/>
  <c r="BO22" i="13"/>
  <c r="BP22" i="13"/>
  <c r="BQ22" i="13"/>
  <c r="BR22" i="13"/>
  <c r="BS22" i="13"/>
  <c r="BT22" i="13"/>
  <c r="BU22" i="13"/>
  <c r="BV22" i="13"/>
  <c r="BW22" i="13"/>
  <c r="BX22" i="13"/>
  <c r="BY22" i="13"/>
  <c r="BZ22" i="13"/>
  <c r="CA22" i="13"/>
  <c r="CB22" i="13"/>
  <c r="CC22" i="13"/>
  <c r="CD22" i="13"/>
  <c r="CE22" i="13"/>
  <c r="CF22" i="13"/>
  <c r="CG22" i="13"/>
  <c r="CH22" i="13"/>
  <c r="CI22" i="13"/>
  <c r="CJ22" i="13"/>
  <c r="CK22" i="13"/>
  <c r="CL22" i="13"/>
  <c r="CM22" i="13"/>
  <c r="CN22" i="13"/>
  <c r="CO22" i="13"/>
  <c r="CP22" i="13"/>
  <c r="CQ22" i="13"/>
  <c r="CR22" i="13"/>
  <c r="CS22" i="13"/>
  <c r="CT22" i="13"/>
  <c r="CU22" i="13"/>
  <c r="CV22" i="13"/>
  <c r="CW22" i="13"/>
  <c r="CX22" i="13"/>
  <c r="CY22" i="13"/>
  <c r="CZ22" i="13"/>
  <c r="DA22" i="13"/>
  <c r="DB22" i="13"/>
  <c r="DC22" i="13"/>
  <c r="DD22" i="13"/>
  <c r="DE22" i="13"/>
  <c r="B23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AU23" i="13"/>
  <c r="AV23" i="13"/>
  <c r="AW23" i="13"/>
  <c r="AX23" i="13"/>
  <c r="AY23" i="13"/>
  <c r="AZ23" i="13"/>
  <c r="BA23" i="13"/>
  <c r="BB23" i="13"/>
  <c r="BC23" i="13"/>
  <c r="BD23" i="13"/>
  <c r="BE23" i="13"/>
  <c r="BF23" i="13"/>
  <c r="BG23" i="13"/>
  <c r="BH23" i="13"/>
  <c r="BI23" i="13"/>
  <c r="BJ23" i="13"/>
  <c r="BK23" i="13"/>
  <c r="BL23" i="13"/>
  <c r="BM23" i="13"/>
  <c r="BN23" i="13"/>
  <c r="BO23" i="13"/>
  <c r="BP23" i="13"/>
  <c r="BQ23" i="13"/>
  <c r="BR23" i="13"/>
  <c r="BS23" i="13"/>
  <c r="BT23" i="13"/>
  <c r="BU23" i="13"/>
  <c r="BV23" i="13"/>
  <c r="BW23" i="13"/>
  <c r="BX23" i="13"/>
  <c r="BY23" i="13"/>
  <c r="BZ23" i="13"/>
  <c r="CA23" i="13"/>
  <c r="CB23" i="13"/>
  <c r="CC23" i="13"/>
  <c r="CD23" i="13"/>
  <c r="CE23" i="13"/>
  <c r="CF23" i="13"/>
  <c r="CG23" i="13"/>
  <c r="CH23" i="13"/>
  <c r="CI23" i="13"/>
  <c r="CJ23" i="13"/>
  <c r="CK23" i="13"/>
  <c r="CL23" i="13"/>
  <c r="CM23" i="13"/>
  <c r="CN23" i="13"/>
  <c r="CO23" i="13"/>
  <c r="CP23" i="13"/>
  <c r="CQ23" i="13"/>
  <c r="CR23" i="13"/>
  <c r="CS23" i="13"/>
  <c r="CT23" i="13"/>
  <c r="CU23" i="13"/>
  <c r="CV23" i="13"/>
  <c r="CW23" i="13"/>
  <c r="CX23" i="13"/>
  <c r="CY23" i="13"/>
  <c r="CZ23" i="13"/>
  <c r="DA23" i="13"/>
  <c r="DB23" i="13"/>
  <c r="DC23" i="13"/>
  <c r="DD23" i="13"/>
  <c r="DE23" i="13"/>
  <c r="B24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X24" i="13"/>
  <c r="AY24" i="13"/>
  <c r="AZ24" i="13"/>
  <c r="BA24" i="13"/>
  <c r="BB24" i="13"/>
  <c r="BC24" i="13"/>
  <c r="BD24" i="13"/>
  <c r="BE24" i="13"/>
  <c r="BF24" i="13"/>
  <c r="BG24" i="13"/>
  <c r="BH24" i="13"/>
  <c r="BI24" i="13"/>
  <c r="BJ24" i="13"/>
  <c r="BK24" i="13"/>
  <c r="BL24" i="13"/>
  <c r="BM24" i="13"/>
  <c r="BN24" i="13"/>
  <c r="BO24" i="13"/>
  <c r="BP24" i="13"/>
  <c r="BQ24" i="13"/>
  <c r="BR24" i="13"/>
  <c r="BS24" i="13"/>
  <c r="BT24" i="13"/>
  <c r="BU24" i="13"/>
  <c r="BV24" i="13"/>
  <c r="BW24" i="13"/>
  <c r="BX24" i="13"/>
  <c r="BY24" i="13"/>
  <c r="BZ24" i="13"/>
  <c r="CA24" i="13"/>
  <c r="CB24" i="13"/>
  <c r="CC24" i="13"/>
  <c r="CD24" i="13"/>
  <c r="CE24" i="13"/>
  <c r="CF24" i="13"/>
  <c r="CG24" i="13"/>
  <c r="CH24" i="13"/>
  <c r="CI24" i="13"/>
  <c r="CJ24" i="13"/>
  <c r="CK24" i="13"/>
  <c r="CL24" i="13"/>
  <c r="CM24" i="13"/>
  <c r="CN24" i="13"/>
  <c r="CO24" i="13"/>
  <c r="CP24" i="13"/>
  <c r="CQ24" i="13"/>
  <c r="CR24" i="13"/>
  <c r="CS24" i="13"/>
  <c r="CT24" i="13"/>
  <c r="CU24" i="13"/>
  <c r="CV24" i="13"/>
  <c r="CW24" i="13"/>
  <c r="CX24" i="13"/>
  <c r="CY24" i="13"/>
  <c r="CZ24" i="13"/>
  <c r="DA24" i="13"/>
  <c r="DB24" i="13"/>
  <c r="DC24" i="13"/>
  <c r="DD24" i="13"/>
  <c r="DE24" i="13"/>
  <c r="DG6" i="13"/>
  <c r="DH6" i="13"/>
  <c r="DI6" i="13"/>
  <c r="DJ6" i="13"/>
  <c r="DK6" i="13"/>
  <c r="DG7" i="13"/>
  <c r="DH7" i="13"/>
  <c r="DI7" i="13"/>
  <c r="DJ7" i="13"/>
  <c r="DK7" i="13"/>
  <c r="DG8" i="13"/>
  <c r="DH8" i="13"/>
  <c r="DI8" i="13"/>
  <c r="DJ8" i="13"/>
  <c r="DK8" i="13"/>
  <c r="DG9" i="13"/>
  <c r="DH9" i="13"/>
  <c r="DI9" i="13"/>
  <c r="DJ9" i="13"/>
  <c r="DK9" i="13"/>
  <c r="DG10" i="13"/>
  <c r="DH10" i="13"/>
  <c r="DI10" i="13"/>
  <c r="DJ10" i="13"/>
  <c r="DK10" i="13"/>
  <c r="DG11" i="13"/>
  <c r="DH11" i="13"/>
  <c r="DI11" i="13"/>
  <c r="DJ11" i="13"/>
  <c r="DK11" i="13"/>
  <c r="DG12" i="13"/>
  <c r="DH12" i="13"/>
  <c r="DI12" i="13"/>
  <c r="DJ12" i="13"/>
  <c r="DK12" i="13"/>
  <c r="DG13" i="13"/>
  <c r="DH13" i="13"/>
  <c r="DI13" i="13"/>
  <c r="DJ13" i="13"/>
  <c r="DK13" i="13"/>
  <c r="DG14" i="13"/>
  <c r="DH14" i="13"/>
  <c r="DI14" i="13"/>
  <c r="DJ14" i="13"/>
  <c r="DK14" i="13"/>
  <c r="DG15" i="13"/>
  <c r="DH15" i="13"/>
  <c r="DI15" i="13"/>
  <c r="DJ15" i="13"/>
  <c r="DK15" i="13"/>
  <c r="DG16" i="13"/>
  <c r="DH16" i="13"/>
  <c r="DI16" i="13"/>
  <c r="DJ16" i="13"/>
  <c r="DK16" i="13"/>
  <c r="DG17" i="13"/>
  <c r="DH17" i="13"/>
  <c r="DI17" i="13"/>
  <c r="DJ17" i="13"/>
  <c r="DK17" i="13"/>
  <c r="DG18" i="13"/>
  <c r="DH18" i="13"/>
  <c r="DI18" i="13"/>
  <c r="DJ18" i="13"/>
  <c r="DK18" i="13"/>
  <c r="DG19" i="13"/>
  <c r="DH19" i="13"/>
  <c r="DI19" i="13"/>
  <c r="DJ19" i="13"/>
  <c r="DK19" i="13"/>
  <c r="DG20" i="13"/>
  <c r="DH20" i="13"/>
  <c r="DI20" i="13"/>
  <c r="DJ20" i="13"/>
  <c r="DK20" i="13"/>
  <c r="DG21" i="13"/>
  <c r="DH21" i="13"/>
  <c r="DI21" i="13"/>
  <c r="DJ21" i="13"/>
  <c r="DK21" i="13"/>
  <c r="DG22" i="13"/>
  <c r="DH22" i="13"/>
  <c r="DI22" i="13"/>
  <c r="DJ22" i="13"/>
  <c r="DK22" i="13"/>
  <c r="DG23" i="13"/>
  <c r="DH23" i="13"/>
  <c r="DI23" i="13"/>
  <c r="DJ23" i="13"/>
  <c r="DK23" i="13"/>
  <c r="DG24" i="13"/>
  <c r="DH24" i="13"/>
  <c r="DI24" i="13"/>
  <c r="DJ24" i="13"/>
  <c r="DK24" i="13"/>
  <c r="DF7" i="13"/>
  <c r="DF8" i="13"/>
  <c r="DF9" i="13"/>
  <c r="DF10" i="13"/>
  <c r="DF11" i="13"/>
  <c r="DF12" i="13"/>
  <c r="DF13" i="13"/>
  <c r="DF14" i="13"/>
  <c r="DF15" i="13"/>
  <c r="DF16" i="13"/>
  <c r="DF17" i="13"/>
  <c r="DF18" i="13"/>
  <c r="DF19" i="13"/>
  <c r="DF20" i="13"/>
  <c r="DF21" i="13"/>
  <c r="DF22" i="13"/>
  <c r="DF23" i="13"/>
  <c r="DF24" i="13"/>
  <c r="DF6" i="13"/>
</calcChain>
</file>

<file path=xl/sharedStrings.xml><?xml version="1.0" encoding="utf-8"?>
<sst xmlns="http://schemas.openxmlformats.org/spreadsheetml/2006/main" count="1615" uniqueCount="307">
  <si>
    <t>نوع المعوقات وشدتها</t>
  </si>
  <si>
    <t>ارتفاع تكاليف الإنتاج</t>
  </si>
  <si>
    <t>زيادة الرسوم المفروضة على الخدمات الحكومية</t>
  </si>
  <si>
    <t>ضعف القوة الشرائية</t>
  </si>
  <si>
    <t>المنظومة الضريبية</t>
  </si>
  <si>
    <t>إجراءات التعامل مع الجهات الحكومية</t>
  </si>
  <si>
    <t>عدم توفر العمالة المؤهلة</t>
  </si>
  <si>
    <t>المنظومة الجمركية</t>
  </si>
  <si>
    <t>ارتفاع التضخم</t>
  </si>
  <si>
    <t>انتشار الفساد</t>
  </si>
  <si>
    <t>تطبيق الإجراءات الاحترازية</t>
  </si>
  <si>
    <t>البنية التحتية</t>
  </si>
  <si>
    <t>الجرائم والسرقات</t>
  </si>
  <si>
    <t>تخبط السياسات الاقتصادية والمالية والنقدية</t>
  </si>
  <si>
    <t>الحصول على الخدمات المالية والائتمانية</t>
  </si>
  <si>
    <t>تغير سعر الصرف</t>
  </si>
  <si>
    <t>صعوبة شروط منح الائتمان</t>
  </si>
  <si>
    <t xml:space="preserve"> ارتفاع سعر الفائدة على القروض</t>
  </si>
  <si>
    <t>أخري</t>
  </si>
  <si>
    <t>Q2-2021</t>
  </si>
  <si>
    <t>عدم وجود شفافية فى سوق الاوراق المالية (البورصة)</t>
  </si>
  <si>
    <t>ارتفاع سعر الفائدة على القروض</t>
  </si>
  <si>
    <t>Q3-2021</t>
  </si>
  <si>
    <t xml:space="preserve">Large Size  Business Constraints </t>
  </si>
  <si>
    <t xml:space="preserve">SMEs Size Business Constraints </t>
  </si>
  <si>
    <t>عدم وجود شفافية فى سوق الأوراق المالية (البورصة)</t>
  </si>
  <si>
    <t>قطاع الصناعة التحويلية</t>
  </si>
  <si>
    <t>قطاع التشييد والبناء</t>
  </si>
  <si>
    <t>قطاع السياحة</t>
  </si>
  <si>
    <t>قطاع النقل</t>
  </si>
  <si>
    <t>قطاع الاتصالات</t>
  </si>
  <si>
    <t>قطاع الخدمات المالية</t>
  </si>
  <si>
    <t>الكبيرة</t>
  </si>
  <si>
    <t>5-2: أنواع المعوقات وشدتها</t>
  </si>
  <si>
    <t>الصغيرة والمتوسطة</t>
  </si>
  <si>
    <t>Figure 2-2</t>
  </si>
  <si>
    <t>ــ</t>
  </si>
  <si>
    <t>Q1 2021</t>
  </si>
  <si>
    <t>-</t>
  </si>
  <si>
    <t>الخدمات المالية والائتمانية</t>
  </si>
  <si>
    <t>سعر الفائدة</t>
  </si>
  <si>
    <t>التضخم</t>
  </si>
  <si>
    <t>توفير العمالة المؤهلة</t>
  </si>
  <si>
    <t>تخفيض الرسوم المفروضة على الخدمات الحكومية</t>
  </si>
  <si>
    <t>تسهيل الإجراءات الحكومية</t>
  </si>
  <si>
    <t>أولويات الحكومة</t>
  </si>
  <si>
    <t>سعر الصرف</t>
  </si>
  <si>
    <t>Figure 2-1</t>
  </si>
  <si>
    <t>أخرى</t>
  </si>
  <si>
    <t>يوليو – سبتمبر 2021</t>
  </si>
  <si>
    <t>أبريل – يونيو 2021</t>
  </si>
  <si>
    <t>يوليو - سبتمبر 2021</t>
  </si>
  <si>
    <t>عدم وجود شفافية في سوق الأوراق المالية (البورصة)</t>
  </si>
  <si>
    <t>أخــــــــــــــــــــــــــرى</t>
  </si>
  <si>
    <t>High production costs</t>
  </si>
  <si>
    <t>Increased government services fees</t>
  </si>
  <si>
    <t>Weak purchasing power</t>
  </si>
  <si>
    <t>Taxation system</t>
  </si>
  <si>
    <t>Government procedures</t>
  </si>
  <si>
    <t>Lack of skilled labor</t>
  </si>
  <si>
    <t>Customs system</t>
  </si>
  <si>
    <t>High inflation</t>
  </si>
  <si>
    <t>Corruption</t>
  </si>
  <si>
    <t>Precautionary measures</t>
  </si>
  <si>
    <t>Infrastructure</t>
  </si>
  <si>
    <t>Crimes and thefts</t>
  </si>
  <si>
    <t>Unstable economic, fiscal and monetary policy</t>
  </si>
  <si>
    <t>Access to financial and credit services</t>
  </si>
  <si>
    <t>Exchange rate</t>
  </si>
  <si>
    <t>Difficult credit conditions</t>
  </si>
  <si>
    <t>High loan interest rate</t>
  </si>
  <si>
    <t>Others</t>
  </si>
  <si>
    <t>Lack of transparency in the stocks market</t>
  </si>
  <si>
    <t>Constraints</t>
  </si>
  <si>
    <t>Jan-Mar 2017</t>
  </si>
  <si>
    <t>Apr-Jun 2017</t>
  </si>
  <si>
    <t>Jul-Sep 2017</t>
  </si>
  <si>
    <t>Oct-Dec 2017</t>
  </si>
  <si>
    <t>Jan-Mar 2018</t>
  </si>
  <si>
    <t>Apr-Jun 2018</t>
  </si>
  <si>
    <t>Jul-Sep 2018</t>
  </si>
  <si>
    <t>Oct-Dec 2018</t>
  </si>
  <si>
    <t>Jan-Mar 2019</t>
  </si>
  <si>
    <t>Apr-Jun 2019</t>
  </si>
  <si>
    <t>Jul-Sep 2019</t>
  </si>
  <si>
    <t>Oct-Dec 2019</t>
  </si>
  <si>
    <t>Jan-Mar 2020</t>
  </si>
  <si>
    <t>Apr-Jun 2020</t>
  </si>
  <si>
    <t>Jul-Sep 2020</t>
  </si>
  <si>
    <t>Oct-Dec 2020</t>
  </si>
  <si>
    <t>Jan-Mar 2021</t>
  </si>
  <si>
    <t>Apr-Jun 2021</t>
  </si>
  <si>
    <t>Jul-Sep 2021</t>
  </si>
  <si>
    <t>Oct-Dec 2021</t>
  </si>
  <si>
    <t>يناير - مارس 2017</t>
  </si>
  <si>
    <t>أبريل - يونيو 2017</t>
  </si>
  <si>
    <t>يوليو - سبتمبر 2017</t>
  </si>
  <si>
    <t>أكتوبر-ديسمبر 2017</t>
  </si>
  <si>
    <t>يناير - مارس 2018</t>
  </si>
  <si>
    <t>أبريل - يونيو 2018</t>
  </si>
  <si>
    <t>يوليو - سبتمبر 2018</t>
  </si>
  <si>
    <t>أكتوبر-ديسمبر 2018</t>
  </si>
  <si>
    <t>يناير - مارس 2019</t>
  </si>
  <si>
    <t>أبريل - يونيو 2019</t>
  </si>
  <si>
    <t>يوليو - سبتمبر 2019</t>
  </si>
  <si>
    <t>أكتوبر-ديسمبر 2019</t>
  </si>
  <si>
    <t>يناير - مارس 2020</t>
  </si>
  <si>
    <t>أبريل - يونيو 2020</t>
  </si>
  <si>
    <t>يوليو - سبتمبر 2020</t>
  </si>
  <si>
    <t>أكتوبر-ديسمبر 2020</t>
  </si>
  <si>
    <t>يناير - مارس 2021</t>
  </si>
  <si>
    <t>أبريل - يونيو 2021</t>
  </si>
  <si>
    <t>أكتوبر-ديسمبر 2021</t>
  </si>
  <si>
    <t>Jan - Mar 2017</t>
  </si>
  <si>
    <t>Apr - Jun 2017</t>
  </si>
  <si>
    <t>Jul - Sep 2017</t>
  </si>
  <si>
    <t>Oct - Dec 2017</t>
  </si>
  <si>
    <t>Jan - Mar 2018</t>
  </si>
  <si>
    <t>Apr - Jun 2018</t>
  </si>
  <si>
    <t>Jul - Sep 2018</t>
  </si>
  <si>
    <t>Oct - Dec 2018</t>
  </si>
  <si>
    <t>Jan - Mar 2019</t>
  </si>
  <si>
    <t>Apr - Jun 2019</t>
  </si>
  <si>
    <t>Jul - Sep 2019</t>
  </si>
  <si>
    <t>Oct - Dec 2019</t>
  </si>
  <si>
    <t>Jan - Mar 2020</t>
  </si>
  <si>
    <t>Apr - Jun 2020</t>
  </si>
  <si>
    <t>Jul - Sep 2020</t>
  </si>
  <si>
    <t>Oct - Dec 2020</t>
  </si>
  <si>
    <t>Jan - Mar 2021</t>
  </si>
  <si>
    <t>Apr - Jun 2021</t>
  </si>
  <si>
    <t>Jul - Sep 2021</t>
  </si>
  <si>
    <t>Oct - Dec 2021</t>
  </si>
  <si>
    <t>Financial Services</t>
  </si>
  <si>
    <t>Communications</t>
  </si>
  <si>
    <t>Transport</t>
  </si>
  <si>
    <t>Tourism</t>
  </si>
  <si>
    <t>Construction</t>
  </si>
  <si>
    <t>Manufacturing</t>
  </si>
  <si>
    <t>الشركات الكبيرة</t>
  </si>
  <si>
    <t>الشركات الصغيرة والمتوسطة</t>
  </si>
  <si>
    <t>Large</t>
  </si>
  <si>
    <t>SMEs</t>
  </si>
  <si>
    <t>Reducing government services fees</t>
  </si>
  <si>
    <t>Supporting hit sectors</t>
  </si>
  <si>
    <t>Reducing energy prices</t>
  </si>
  <si>
    <t>Investment policy</t>
  </si>
  <si>
    <t>Facilitating government procedures</t>
  </si>
  <si>
    <t>Tax system</t>
  </si>
  <si>
    <t>Providing skilled labor</t>
  </si>
  <si>
    <t>Credit and financial services</t>
  </si>
  <si>
    <t>Inflation</t>
  </si>
  <si>
    <t>Interest rate</t>
  </si>
  <si>
    <t>Fig 2-1</t>
  </si>
  <si>
    <t>Fig 2-2</t>
  </si>
  <si>
    <t>Jan-Mar 2022</t>
  </si>
  <si>
    <t>يناير-مارس 2021</t>
  </si>
  <si>
    <t>يناير- مارس 2022</t>
  </si>
  <si>
    <t>Jan - Mar 2022</t>
  </si>
  <si>
    <t>أبريل - يونيو 2022</t>
  </si>
  <si>
    <t>Apr-Jun 2022</t>
  </si>
  <si>
    <t>Apr - Jun 2022</t>
  </si>
  <si>
    <t>Priorities</t>
  </si>
  <si>
    <t>يناير - مارس 2022</t>
  </si>
  <si>
    <t>يناير – مارس 2022</t>
  </si>
  <si>
    <t>أكتوبر - ديسمبر 2021</t>
  </si>
  <si>
    <t>Digitalization of government services</t>
  </si>
  <si>
    <t>أبريل– يونيو 2022</t>
  </si>
  <si>
    <t>أبريل- يونيو 2022</t>
  </si>
  <si>
    <t>Apr - June 2022</t>
  </si>
  <si>
    <t>يوليو - سبتمبر 2022</t>
  </si>
  <si>
    <t>Jul - Sep 2022</t>
  </si>
  <si>
    <t>_</t>
  </si>
  <si>
    <t>Jul-Sep 2022</t>
  </si>
  <si>
    <t>Oct-Dec 2022</t>
  </si>
  <si>
    <t>اكتوبر -ديسمبر 2022</t>
  </si>
  <si>
    <t>Oct - Dec 2022</t>
  </si>
  <si>
    <t>أكتوبر-ديسمبر 2022</t>
  </si>
  <si>
    <t>أكتوبر - ديسمبر 2022</t>
  </si>
  <si>
    <t>أكتوبر  - ديسمبر 2022</t>
  </si>
  <si>
    <t>يناير -مارس 2022</t>
  </si>
  <si>
    <t>Jan-Mar 2023</t>
  </si>
  <si>
    <t>يناير - مارس 2023</t>
  </si>
  <si>
    <t>Jan - Mar 2023</t>
  </si>
  <si>
    <t>يناير – مارس 2023</t>
  </si>
  <si>
    <t>أبريل– يونيو 2023</t>
  </si>
  <si>
    <t>Apr-Jun 2023</t>
  </si>
  <si>
    <t>يناير  - مارس 2023</t>
  </si>
  <si>
    <t>أبريل- يونيو 2023</t>
  </si>
  <si>
    <t>Apr - June 2023</t>
  </si>
  <si>
    <t>أبريل - يونيو 2023</t>
  </si>
  <si>
    <t>Apr-Jun 203</t>
  </si>
  <si>
    <t>يوليو - سبتمبر 2023</t>
  </si>
  <si>
    <t>Jul - Sep 2023</t>
  </si>
  <si>
    <t>أبريل -يونيو 2023</t>
  </si>
  <si>
    <t>Apr - Jun 2023</t>
  </si>
  <si>
    <t>Jul-Sep 2023</t>
  </si>
  <si>
    <t>اكتوبر -ديسمبر 2023</t>
  </si>
  <si>
    <t>Oct-Dec 2023</t>
  </si>
  <si>
    <t>أكتوبر-ديسمبر 2023</t>
  </si>
  <si>
    <t>يوليو-سبتمبر 2023</t>
  </si>
  <si>
    <t>أكتوبر  - ديسمبر 2023</t>
  </si>
  <si>
    <t>Jan-Mar 2024</t>
  </si>
  <si>
    <t>أكتوبر - ديسمبر 2023</t>
  </si>
  <si>
    <t>يناير - مارس 2024</t>
  </si>
  <si>
    <t>يناير -مارس 2024</t>
  </si>
  <si>
    <t>يناير – مارس 2024</t>
  </si>
  <si>
    <t>يناير  - مارس 2024</t>
  </si>
  <si>
    <t>أبريل - يونيو 2024</t>
  </si>
  <si>
    <t>Apr-Jun 204</t>
  </si>
  <si>
    <t>Apr-Jun 2024</t>
  </si>
  <si>
    <t>مشاكل اجراء التصدير</t>
  </si>
  <si>
    <t>انقطاع الكهرباء</t>
  </si>
  <si>
    <t>غياب المعلومات عن السوق المحلي والخارجي</t>
  </si>
  <si>
    <t>المنافسة غير العادلة من الدولة</t>
  </si>
  <si>
    <t>غموض توجهات  السياسية الاقتصادية في المستقبل</t>
  </si>
  <si>
    <t>النقل واللوجستيات</t>
  </si>
  <si>
    <t>الحصول على الخدمات التمويل</t>
  </si>
  <si>
    <t>ارتفاع تكاليف الطاقة  والمياة</t>
  </si>
  <si>
    <t>أبريل– يونيو 2024</t>
  </si>
  <si>
    <t>صعوبة الحصول علي العمالة المؤهلة</t>
  </si>
  <si>
    <t xml:space="preserve">تخبط السياسات الاقتصادية </t>
  </si>
  <si>
    <t>عدم تفضيل المنتج المحلي في التعاقدات الحكومية</t>
  </si>
  <si>
    <t>صعوبة الحصول على  التمويل</t>
  </si>
  <si>
    <t xml:space="preserve"> سعر الصرف</t>
  </si>
  <si>
    <t>أبريل  - يونيو 2024</t>
  </si>
  <si>
    <t>تخفيض أسعار الطاقة والمياة</t>
  </si>
  <si>
    <t>أبريل -يونيو 2024</t>
  </si>
  <si>
    <t>يوليو - سبتمبر 2024</t>
  </si>
  <si>
    <t>مدة انقطاع الكهرباء</t>
  </si>
  <si>
    <t>معدل التضخم</t>
  </si>
  <si>
    <t>الرسوم الجمركية</t>
  </si>
  <si>
    <t>سعر الدولار</t>
  </si>
  <si>
    <t>تسهيل اجراء التصدير</t>
  </si>
  <si>
    <t xml:space="preserve"> تخفيض مدة انقطاع الكهرباء</t>
  </si>
  <si>
    <t xml:space="preserve"> تفضيل المنتج المحلي في التعاقدات الحكومية</t>
  </si>
  <si>
    <t>منع المنافسة غير العادلة من الدولة</t>
  </si>
  <si>
    <t>اتساق  السياسات الاقتصادية</t>
  </si>
  <si>
    <t>توافر  المعلومات عن السوق المحلي والخارجي</t>
  </si>
  <si>
    <t>وضوح توجهات  السياسية الاقتصادية في المستقبل</t>
  </si>
  <si>
    <t xml:space="preserve">ظل ثابت </t>
  </si>
  <si>
    <t xml:space="preserve">ارتفع </t>
  </si>
  <si>
    <t>انخفض</t>
  </si>
  <si>
    <t>المتغير</t>
  </si>
  <si>
    <t>Jul-Sep 2024</t>
  </si>
  <si>
    <t>يوليو-سبتمبر 2024</t>
  </si>
  <si>
    <t>الافصاح عن توجهات  السياسية الاقتصادية في المستقبل</t>
  </si>
  <si>
    <t>اكتوبر -ديسمبر 2024</t>
  </si>
  <si>
    <t>Jul - Sep 2024</t>
  </si>
  <si>
    <t>Oct-Dec 2024</t>
  </si>
  <si>
    <t>أكتوبر  - ديسمبر 2024</t>
  </si>
  <si>
    <t>يناير - مارس 2025</t>
  </si>
  <si>
    <t>يناير -مارس 2025</t>
  </si>
  <si>
    <t>أكتوبر - ديسمبر 2024</t>
  </si>
  <si>
    <t>يناير – مارس 2025</t>
  </si>
  <si>
    <t>Jan-Mar 2025</t>
  </si>
  <si>
    <t>أبريل - يونيو 2025</t>
  </si>
  <si>
    <t>Apr-Jun 205</t>
  </si>
  <si>
    <t>أبريل -يونيو 2025</t>
  </si>
  <si>
    <t>High costs of energy and water</t>
  </si>
  <si>
    <t>ارتفاع تكاليف الطاقة والمياه</t>
  </si>
  <si>
    <t>Export procedures</t>
  </si>
  <si>
    <t>المشكلات المرتبطة بإجراءات التصدير</t>
  </si>
  <si>
    <t>Increased government fees</t>
  </si>
  <si>
    <t>Difficulty in finding qualified labor</t>
  </si>
  <si>
    <t>Customs</t>
  </si>
  <si>
    <t>Unstable economic policies</t>
  </si>
  <si>
    <t>Power outage</t>
  </si>
  <si>
    <t>إنقطاع الكهرباء</t>
  </si>
  <si>
    <t>Lack of information on domestic and foreign markets</t>
  </si>
  <si>
    <t>Government contracts don't give priority to locally manufactured products</t>
  </si>
  <si>
    <t>Unfair competition from the state</t>
  </si>
  <si>
    <t>Difficulty in obtaining funding</t>
  </si>
  <si>
    <t>Economic policy uncertainty</t>
  </si>
  <si>
    <t>عدم وضوح توجهات السياسة الاقتصادية في المستقبل</t>
  </si>
  <si>
    <t>Transportation and logistics</t>
  </si>
  <si>
    <t>تخفيض أسعار الطاقة والمياه</t>
  </si>
  <si>
    <t>الحصول على خدمات التمويل</t>
  </si>
  <si>
    <t xml:space="preserve">معدل  الضرائب </t>
  </si>
  <si>
    <t>رسوم الطاقة والمياه والصرف</t>
  </si>
  <si>
    <t>Increase</t>
  </si>
  <si>
    <t>Stability</t>
  </si>
  <si>
    <t>Decrease</t>
  </si>
  <si>
    <t>Inflation rate</t>
  </si>
  <si>
    <t>Custom fees</t>
  </si>
  <si>
    <t>Taxation rate</t>
  </si>
  <si>
    <t>Energy, water and waste costs</t>
  </si>
  <si>
    <t>Economic policy consistency</t>
  </si>
  <si>
    <t>Reducing government service fees</t>
  </si>
  <si>
    <t xml:space="preserve">Inflation </t>
  </si>
  <si>
    <t>Reducing energy and water costs</t>
  </si>
  <si>
    <t>Providing qualified labor</t>
  </si>
  <si>
    <t>Facilitating export procedures</t>
  </si>
  <si>
    <t>Reducing power outages</t>
  </si>
  <si>
    <t>Providing funding services</t>
  </si>
  <si>
    <t>Other</t>
  </si>
  <si>
    <t>Providing information on domestic and foreign markets</t>
  </si>
  <si>
    <t xml:space="preserve">Giving priority to locally-manufactured products in government contracts </t>
  </si>
  <si>
    <t>Avoid unfair completion from the State</t>
  </si>
  <si>
    <t> Disclosure of future economic policies</t>
  </si>
  <si>
    <t>أبريل– يونيو 2025</t>
  </si>
  <si>
    <t>Apr-Jun 2025</t>
  </si>
  <si>
    <t>يوليو - سبتمبر 2025</t>
  </si>
  <si>
    <t>Jul - Sep 2025</t>
  </si>
  <si>
    <t>أبريل  - يونيو 2025</t>
  </si>
  <si>
    <t>Jul-Sep 2025</t>
  </si>
  <si>
    <t>تخبط السياسات الاقتصادية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</si>
</sst>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.00_);[Red]\(0.00\)"/>
  </numFmts>
  <fonts count="30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8"/>
      <color theme="0"/>
      <name val="Arial"/>
      <family val="2"/>
    </font>
    <font>
      <sz val="10"/>
      <color theme="0"/>
      <name val="Arial"/>
      <family val="2"/>
    </font>
    <font>
      <sz val="16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8"/>
      <color rgb="FF000000"/>
      <name val="Century Gothic"/>
      <family val="2"/>
    </font>
    <font>
      <b/>
      <sz val="10"/>
      <name val="Century Gothic"/>
      <family val="2"/>
    </font>
    <font>
      <sz val="11"/>
      <color theme="1"/>
      <name val="Century Gothic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20"/>
      <color theme="4"/>
      <name val="Century Gothic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29" fillId="0" borderId="0"/>
  </cellStyleXfs>
  <cellXfs count="143">
    <xf numFmtId="0" fontId="0" fillId="0" borderId="0" xfId="0"/>
    <xf numFmtId="164" fontId="3" fillId="0" borderId="0" xfId="0" applyNumberFormat="1" applyFont="1" applyAlignment="1">
      <alignment horizontal="left"/>
    </xf>
    <xf numFmtId="164" fontId="4" fillId="0" borderId="0" xfId="1" applyNumberFormat="1" applyFont="1"/>
    <xf numFmtId="164" fontId="4" fillId="0" borderId="0" xfId="1" applyNumberFormat="1" applyFont="1" applyAlignment="1">
      <alignment horizontal="center"/>
    </xf>
    <xf numFmtId="1" fontId="6" fillId="3" borderId="0" xfId="1" applyNumberFormat="1" applyFont="1" applyFill="1"/>
    <xf numFmtId="165" fontId="4" fillId="0" borderId="0" xfId="1" applyNumberFormat="1" applyFont="1" applyAlignment="1">
      <alignment horizontal="center"/>
    </xf>
    <xf numFmtId="0" fontId="5" fillId="0" borderId="0" xfId="1"/>
    <xf numFmtId="0" fontId="4" fillId="0" borderId="0" xfId="1" applyFont="1" applyAlignment="1">
      <alignment horizontal="center" vertical="center"/>
    </xf>
    <xf numFmtId="0" fontId="5" fillId="0" borderId="0" xfId="1" applyAlignment="1">
      <alignment horizontal="center" vertical="center"/>
    </xf>
    <xf numFmtId="1" fontId="4" fillId="0" borderId="0" xfId="1" applyNumberFormat="1" applyFont="1"/>
    <xf numFmtId="1" fontId="4" fillId="0" borderId="0" xfId="1" applyNumberFormat="1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2" fillId="0" borderId="2" xfId="1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vertical="center"/>
    </xf>
    <xf numFmtId="1" fontId="2" fillId="0" borderId="3" xfId="1" applyNumberFormat="1" applyFont="1" applyBorder="1" applyAlignment="1">
      <alignment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vertical="center" readingOrder="2"/>
    </xf>
    <xf numFmtId="0" fontId="5" fillId="0" borderId="3" xfId="1" applyBorder="1" applyAlignment="1">
      <alignment horizontal="right" wrapText="1"/>
    </xf>
    <xf numFmtId="0" fontId="5" fillId="0" borderId="3" xfId="1" applyBorder="1" applyAlignment="1">
      <alignment vertical="center" wrapText="1"/>
    </xf>
    <xf numFmtId="1" fontId="2" fillId="0" borderId="3" xfId="0" applyNumberFormat="1" applyFont="1" applyBorder="1" applyAlignment="1">
      <alignment vertical="center"/>
    </xf>
    <xf numFmtId="1" fontId="2" fillId="0" borderId="5" xfId="1" applyNumberFormat="1" applyFont="1" applyBorder="1" applyAlignment="1">
      <alignment vertical="center"/>
    </xf>
    <xf numFmtId="1" fontId="2" fillId="0" borderId="7" xfId="0" applyNumberFormat="1" applyFont="1" applyBorder="1" applyAlignment="1">
      <alignment horizontal="center" vertical="center"/>
    </xf>
    <xf numFmtId="0" fontId="5" fillId="0" borderId="5" xfId="1" applyBorder="1" applyAlignment="1">
      <alignment horizontal="right" wrapText="1"/>
    </xf>
    <xf numFmtId="1" fontId="2" fillId="0" borderId="2" xfId="1" applyNumberFormat="1" applyFont="1" applyBorder="1" applyAlignment="1">
      <alignment horizontal="center" vertical="center" wrapText="1"/>
    </xf>
    <xf numFmtId="0" fontId="5" fillId="0" borderId="2" xfId="1" applyBorder="1" applyAlignment="1">
      <alignment horizontal="center"/>
    </xf>
    <xf numFmtId="0" fontId="5" fillId="0" borderId="6" xfId="1" applyBorder="1" applyAlignment="1">
      <alignment horizontal="center"/>
    </xf>
    <xf numFmtId="1" fontId="5" fillId="0" borderId="4" xfId="1" applyNumberFormat="1" applyBorder="1"/>
    <xf numFmtId="0" fontId="5" fillId="0" borderId="2" xfId="1" applyBorder="1" applyAlignment="1">
      <alignment horizontal="right" wrapText="1"/>
    </xf>
    <xf numFmtId="0" fontId="5" fillId="0" borderId="2" xfId="1" applyBorder="1" applyAlignment="1">
      <alignment vertical="center" wrapText="1"/>
    </xf>
    <xf numFmtId="164" fontId="4" fillId="0" borderId="2" xfId="1" applyNumberFormat="1" applyFont="1" applyBorder="1"/>
    <xf numFmtId="1" fontId="2" fillId="0" borderId="6" xfId="1" applyNumberFormat="1" applyFont="1" applyBorder="1" applyAlignment="1">
      <alignment horizontal="center" vertical="center" wrapText="1"/>
    </xf>
    <xf numFmtId="1" fontId="8" fillId="0" borderId="11" xfId="0" applyNumberFormat="1" applyFont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vertical="center"/>
    </xf>
    <xf numFmtId="1" fontId="1" fillId="2" borderId="0" xfId="1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1" fillId="5" borderId="0" xfId="1" applyNumberFormat="1" applyFont="1" applyFill="1" applyAlignment="1">
      <alignment horizontal="center" vertical="center"/>
    </xf>
    <xf numFmtId="1" fontId="10" fillId="5" borderId="14" xfId="1" applyNumberFormat="1" applyFont="1" applyFill="1" applyBorder="1" applyAlignment="1">
      <alignment horizontal="center" vertical="center"/>
    </xf>
    <xf numFmtId="1" fontId="10" fillId="5" borderId="8" xfId="1" applyNumberFormat="1" applyFont="1" applyFill="1" applyBorder="1" applyAlignment="1">
      <alignment horizontal="center" vertical="center"/>
    </xf>
    <xf numFmtId="1" fontId="2" fillId="0" borderId="9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/>
    </xf>
    <xf numFmtId="1" fontId="2" fillId="0" borderId="17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left" wrapText="1"/>
    </xf>
    <xf numFmtId="1" fontId="2" fillId="0" borderId="9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vertical="center"/>
    </xf>
    <xf numFmtId="1" fontId="2" fillId="0" borderId="10" xfId="1" applyNumberFormat="1" applyFont="1" applyBorder="1" applyAlignment="1">
      <alignment horizontal="center" vertical="center"/>
    </xf>
    <xf numFmtId="164" fontId="4" fillId="0" borderId="10" xfId="1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15" xfId="1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" fontId="2" fillId="0" borderId="0" xfId="0" applyNumberFormat="1" applyFont="1" applyAlignment="1">
      <alignment vertical="center"/>
    </xf>
    <xf numFmtId="1" fontId="2" fillId="0" borderId="0" xfId="1" applyNumberFormat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1" fontId="10" fillId="0" borderId="0" xfId="1" applyNumberFormat="1" applyFont="1" applyAlignment="1">
      <alignment horizontal="center" vertical="center"/>
    </xf>
    <xf numFmtId="0" fontId="0" fillId="0" borderId="0" xfId="0" applyAlignment="1">
      <alignment horizontal="left" wrapText="1"/>
    </xf>
    <xf numFmtId="0" fontId="0" fillId="6" borderId="0" xfId="0" applyFill="1"/>
    <xf numFmtId="0" fontId="0" fillId="6" borderId="12" xfId="0" applyFill="1" applyBorder="1"/>
    <xf numFmtId="1" fontId="7" fillId="6" borderId="13" xfId="0" applyNumberFormat="1" applyFont="1" applyFill="1" applyBorder="1" applyAlignment="1">
      <alignment vertical="center"/>
    </xf>
    <xf numFmtId="1" fontId="7" fillId="6" borderId="11" xfId="0" applyNumberFormat="1" applyFont="1" applyFill="1" applyBorder="1" applyAlignment="1">
      <alignment horizontal="center" vertical="center" wrapText="1"/>
    </xf>
    <xf numFmtId="1" fontId="7" fillId="6" borderId="13" xfId="0" applyNumberFormat="1" applyFont="1" applyFill="1" applyBorder="1" applyAlignment="1">
      <alignment horizontal="center" vertical="center" wrapText="1"/>
    </xf>
    <xf numFmtId="0" fontId="12" fillId="0" borderId="25" xfId="0" applyFont="1" applyBorder="1"/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 wrapText="1" readingOrder="2"/>
    </xf>
    <xf numFmtId="1" fontId="10" fillId="5" borderId="26" xfId="1" applyNumberFormat="1" applyFont="1" applyFill="1" applyBorder="1" applyAlignment="1">
      <alignment vertical="center"/>
    </xf>
    <xf numFmtId="1" fontId="2" fillId="0" borderId="9" xfId="1" applyNumberFormat="1" applyFont="1" applyBorder="1" applyAlignment="1">
      <alignment vertical="center"/>
    </xf>
    <xf numFmtId="1" fontId="2" fillId="0" borderId="9" xfId="0" applyNumberFormat="1" applyFont="1" applyBorder="1" applyAlignment="1">
      <alignment vertical="center"/>
    </xf>
    <xf numFmtId="164" fontId="4" fillId="0" borderId="9" xfId="1" applyNumberFormat="1" applyFont="1" applyBorder="1"/>
    <xf numFmtId="0" fontId="0" fillId="0" borderId="9" xfId="0" applyBorder="1" applyAlignment="1">
      <alignment vertical="center"/>
    </xf>
    <xf numFmtId="1" fontId="2" fillId="0" borderId="9" xfId="0" applyNumberFormat="1" applyFont="1" applyBorder="1" applyAlignment="1">
      <alignment vertical="center" readingOrder="2"/>
    </xf>
    <xf numFmtId="1" fontId="2" fillId="0" borderId="17" xfId="1" applyNumberFormat="1" applyFont="1" applyBorder="1" applyAlignment="1">
      <alignment vertical="center"/>
    </xf>
    <xf numFmtId="1" fontId="10" fillId="5" borderId="8" xfId="1" applyNumberFormat="1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readingOrder="2"/>
    </xf>
    <xf numFmtId="1" fontId="13" fillId="5" borderId="8" xfId="1" applyNumberFormat="1" applyFont="1" applyFill="1" applyBorder="1" applyAlignment="1">
      <alignment horizontal="center" vertical="center" wrapText="1"/>
    </xf>
    <xf numFmtId="1" fontId="15" fillId="6" borderId="13" xfId="0" applyNumberFormat="1" applyFont="1" applyFill="1" applyBorder="1" applyAlignment="1">
      <alignment vertical="center"/>
    </xf>
    <xf numFmtId="0" fontId="16" fillId="6" borderId="0" xfId="0" applyFont="1" applyFill="1"/>
    <xf numFmtId="1" fontId="17" fillId="0" borderId="0" xfId="0" applyNumberFormat="1" applyFont="1" applyAlignment="1">
      <alignment vertical="center"/>
    </xf>
    <xf numFmtId="1" fontId="18" fillId="0" borderId="11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/>
    </xf>
    <xf numFmtId="1" fontId="2" fillId="0" borderId="19" xfId="0" applyNumberFormat="1" applyFont="1" applyBorder="1" applyAlignment="1">
      <alignment horizontal="center" vertical="center" wrapText="1"/>
    </xf>
    <xf numFmtId="1" fontId="2" fillId="0" borderId="20" xfId="0" applyNumberFormat="1" applyFont="1" applyBorder="1" applyAlignment="1">
      <alignment horizontal="center" vertical="center" wrapText="1"/>
    </xf>
    <xf numFmtId="164" fontId="19" fillId="0" borderId="0" xfId="1" applyNumberFormat="1" applyFont="1" applyAlignment="1">
      <alignment horizontal="left" vertical="center"/>
    </xf>
    <xf numFmtId="1" fontId="2" fillId="0" borderId="2" xfId="1" applyNumberFormat="1" applyFont="1" applyBorder="1" applyAlignment="1">
      <alignment vertical="center"/>
    </xf>
    <xf numFmtId="1" fontId="20" fillId="0" borderId="0" xfId="0" applyNumberFormat="1" applyFont="1"/>
    <xf numFmtId="1" fontId="9" fillId="7" borderId="11" xfId="0" applyNumberFormat="1" applyFont="1" applyFill="1" applyBorder="1" applyAlignment="1">
      <alignment horizontal="center" vertical="center"/>
    </xf>
    <xf numFmtId="1" fontId="5" fillId="0" borderId="9" xfId="1" applyNumberFormat="1" applyBorder="1"/>
    <xf numFmtId="1" fontId="5" fillId="0" borderId="17" xfId="1" applyNumberFormat="1" applyBorder="1"/>
    <xf numFmtId="1" fontId="10" fillId="5" borderId="30" xfId="1" applyNumberFormat="1" applyFont="1" applyFill="1" applyBorder="1" applyAlignment="1">
      <alignment horizontal="center" vertical="center" wrapText="1"/>
    </xf>
    <xf numFmtId="1" fontId="21" fillId="5" borderId="0" xfId="1" applyNumberFormat="1" applyFont="1" applyFill="1" applyAlignment="1">
      <alignment vertical="center"/>
    </xf>
    <xf numFmtId="1" fontId="0" fillId="0" borderId="2" xfId="0" applyNumberFormat="1" applyBorder="1" applyAlignment="1">
      <alignment horizontal="center"/>
    </xf>
    <xf numFmtId="1" fontId="5" fillId="4" borderId="9" xfId="1" applyNumberFormat="1" applyFill="1" applyBorder="1"/>
    <xf numFmtId="1" fontId="4" fillId="4" borderId="9" xfId="1" applyNumberFormat="1" applyFont="1" applyFill="1" applyBorder="1"/>
    <xf numFmtId="1" fontId="10" fillId="5" borderId="0" xfId="1" applyNumberFormat="1" applyFont="1" applyFill="1" applyAlignment="1">
      <alignment vertical="center"/>
    </xf>
    <xf numFmtId="1" fontId="20" fillId="0" borderId="0" xfId="0" applyNumberFormat="1" applyFont="1" applyAlignment="1">
      <alignment horizontal="center"/>
    </xf>
    <xf numFmtId="1" fontId="0" fillId="0" borderId="0" xfId="0" applyNumberFormat="1"/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/>
    <xf numFmtId="1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/>
    <xf numFmtId="0" fontId="25" fillId="0" borderId="0" xfId="0" applyFont="1" applyAlignment="1">
      <alignment horizontal="center" vertical="center" readingOrder="2"/>
    </xf>
    <xf numFmtId="1" fontId="26" fillId="6" borderId="2" xfId="0" applyNumberFormat="1" applyFont="1" applyFill="1" applyBorder="1" applyAlignment="1">
      <alignment horizontal="center"/>
    </xf>
    <xf numFmtId="1" fontId="27" fillId="6" borderId="2" xfId="0" applyNumberFormat="1" applyFont="1" applyFill="1" applyBorder="1" applyAlignment="1">
      <alignment horizontal="center"/>
    </xf>
    <xf numFmtId="1" fontId="26" fillId="6" borderId="2" xfId="0" applyNumberFormat="1" applyFont="1" applyFill="1" applyBorder="1" applyAlignment="1">
      <alignment horizontal="center" vertical="center"/>
    </xf>
    <xf numFmtId="1" fontId="27" fillId="6" borderId="2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vertical="center"/>
    </xf>
    <xf numFmtId="1" fontId="2" fillId="8" borderId="3" xfId="1" applyNumberFormat="1" applyFont="1" applyFill="1" applyBorder="1" applyAlignment="1">
      <alignment vertical="center"/>
    </xf>
    <xf numFmtId="1" fontId="2" fillId="8" borderId="2" xfId="1" applyNumberFormat="1" applyFont="1" applyFill="1" applyBorder="1" applyAlignment="1">
      <alignment vertical="center"/>
    </xf>
    <xf numFmtId="1" fontId="2" fillId="8" borderId="2" xfId="0" applyNumberFormat="1" applyFont="1" applyFill="1" applyBorder="1" applyAlignment="1">
      <alignment vertical="center" readingOrder="2"/>
    </xf>
    <xf numFmtId="164" fontId="28" fillId="0" borderId="2" xfId="1" applyNumberFormat="1" applyFont="1" applyBorder="1" applyAlignment="1">
      <alignment horizontal="center"/>
    </xf>
    <xf numFmtId="0" fontId="0" fillId="0" borderId="2" xfId="0" applyBorder="1"/>
    <xf numFmtId="1" fontId="29" fillId="0" borderId="23" xfId="2" applyNumberFormat="1" applyBorder="1"/>
    <xf numFmtId="1" fontId="0" fillId="0" borderId="0" xfId="0" applyNumberFormat="1" applyAlignment="1">
      <alignment horizontal="center" vertical="center"/>
    </xf>
    <xf numFmtId="1" fontId="29" fillId="0" borderId="2" xfId="2" applyNumberFormat="1" applyBorder="1" applyAlignment="1">
      <alignment horizontal="center"/>
    </xf>
    <xf numFmtId="1" fontId="0" fillId="6" borderId="0" xfId="0" applyNumberFormat="1" applyFill="1"/>
    <xf numFmtId="164" fontId="4" fillId="0" borderId="0" xfId="1" applyNumberFormat="1" applyFont="1" applyAlignment="1">
      <alignment horizontal="center"/>
    </xf>
    <xf numFmtId="1" fontId="21" fillId="5" borderId="0" xfId="1" applyNumberFormat="1" applyFont="1" applyFill="1" applyAlignment="1">
      <alignment horizontal="center" vertical="center"/>
    </xf>
    <xf numFmtId="1" fontId="2" fillId="4" borderId="27" xfId="1" applyNumberFormat="1" applyFont="1" applyFill="1" applyBorder="1" applyAlignment="1">
      <alignment horizontal="center" vertical="center"/>
    </xf>
    <xf numFmtId="1" fontId="2" fillId="4" borderId="22" xfId="1" applyNumberFormat="1" applyFont="1" applyFill="1" applyBorder="1" applyAlignment="1">
      <alignment horizontal="center" vertical="center"/>
    </xf>
    <xf numFmtId="1" fontId="2" fillId="4" borderId="28" xfId="1" applyNumberFormat="1" applyFont="1" applyFill="1" applyBorder="1" applyAlignment="1">
      <alignment horizontal="center" vertical="center"/>
    </xf>
    <xf numFmtId="1" fontId="10" fillId="5" borderId="29" xfId="1" applyNumberFormat="1" applyFont="1" applyFill="1" applyBorder="1" applyAlignment="1">
      <alignment horizontal="center" vertical="center"/>
    </xf>
    <xf numFmtId="1" fontId="10" fillId="5" borderId="26" xfId="1" applyNumberFormat="1" applyFont="1" applyFill="1" applyBorder="1" applyAlignment="1">
      <alignment horizontal="center" vertical="center"/>
    </xf>
    <xf numFmtId="1" fontId="1" fillId="2" borderId="19" xfId="1" applyNumberFormat="1" applyFont="1" applyFill="1" applyBorder="1" applyAlignment="1">
      <alignment horizontal="center" vertical="center"/>
    </xf>
    <xf numFmtId="1" fontId="1" fillId="2" borderId="20" xfId="1" applyNumberFormat="1" applyFont="1" applyFill="1" applyBorder="1" applyAlignment="1">
      <alignment horizontal="center" vertical="center"/>
    </xf>
    <xf numFmtId="1" fontId="1" fillId="2" borderId="14" xfId="1" applyNumberFormat="1" applyFont="1" applyFill="1" applyBorder="1" applyAlignment="1">
      <alignment horizontal="center" vertical="center"/>
    </xf>
    <xf numFmtId="1" fontId="1" fillId="2" borderId="10" xfId="1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  <xf numFmtId="1" fontId="1" fillId="2" borderId="4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2" borderId="8" xfId="1" applyNumberFormat="1" applyFont="1" applyFill="1" applyBorder="1" applyAlignment="1">
      <alignment horizontal="center" vertical="center"/>
    </xf>
    <xf numFmtId="1" fontId="1" fillId="2" borderId="3" xfId="1" applyNumberFormat="1" applyFont="1" applyFill="1" applyBorder="1" applyAlignment="1">
      <alignment horizontal="center" vertical="center"/>
    </xf>
    <xf numFmtId="1" fontId="1" fillId="2" borderId="16" xfId="1" applyNumberFormat="1" applyFont="1" applyFill="1" applyBorder="1" applyAlignment="1">
      <alignment horizontal="center" vertical="center"/>
    </xf>
    <xf numFmtId="1" fontId="1" fillId="2" borderId="9" xfId="1" applyNumberFormat="1" applyFont="1" applyFill="1" applyBorder="1" applyAlignment="1">
      <alignment horizontal="center" vertical="center"/>
    </xf>
    <xf numFmtId="164" fontId="19" fillId="0" borderId="0" xfId="1" applyNumberFormat="1" applyFont="1" applyAlignment="1">
      <alignment horizontal="left" vertical="center"/>
    </xf>
    <xf numFmtId="1" fontId="13" fillId="5" borderId="25" xfId="1" applyNumberFormat="1" applyFont="1" applyFill="1" applyBorder="1" applyAlignment="1">
      <alignment horizontal="center" vertical="center"/>
    </xf>
    <xf numFmtId="1" fontId="10" fillId="0" borderId="24" xfId="1" applyNumberFormat="1" applyFont="1" applyBorder="1" applyAlignment="1">
      <alignment horizontal="center" vertical="center"/>
    </xf>
    <xf numFmtId="1" fontId="10" fillId="0" borderId="0" xfId="1" applyNumberFormat="1" applyFont="1" applyAlignment="1">
      <alignment horizontal="center" vertical="center"/>
    </xf>
    <xf numFmtId="1" fontId="10" fillId="0" borderId="22" xfId="1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1"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9C7FF"/>
      <color rgb="FFBAF4FE"/>
      <color rgb="FF0162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604601906861675E-2"/>
          <c:y val="0.13890517362016899"/>
          <c:w val="0.89744904264807412"/>
          <c:h val="0.34033935198301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'BConstraints Fig 2-1 &amp; 2-2 '!$D$83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'BConstraints Fig 2-1 &amp; 2-2 '!$A$84:$A$103</c:f>
              <c:strCache>
                <c:ptCount val="20"/>
                <c:pt idx="1">
                  <c:v>ارتفاع تكاليف الإنتاج</c:v>
                </c:pt>
                <c:pt idx="2">
                  <c:v>ضعف القوة الشرائية</c:v>
                </c:pt>
                <c:pt idx="3">
                  <c:v>زيادة الرسوم المفروضة على الخدمات الحكومية</c:v>
                </c:pt>
                <c:pt idx="4">
                  <c:v>إجراءات التعامل مع الجهات الحكومية</c:v>
                </c:pt>
                <c:pt idx="5">
                  <c:v>المنظومة الضريبية</c:v>
                </c:pt>
                <c:pt idx="6">
                  <c:v>ارتفاع التضخم</c:v>
                </c:pt>
                <c:pt idx="7">
                  <c:v>عدم توفر العمالة المؤهلة</c:v>
                </c:pt>
                <c:pt idx="8">
                  <c:v>المنظومة الجمركية</c:v>
                </c:pt>
                <c:pt idx="9">
                  <c:v>تخبط السياسات الاقتصادية والمالية والنقدية</c:v>
                </c:pt>
                <c:pt idx="10">
                  <c:v>البنية التحتية</c:v>
                </c:pt>
                <c:pt idx="11">
                  <c:v>انتشار الفساد</c:v>
                </c:pt>
                <c:pt idx="12">
                  <c:v>أخرى</c:v>
                </c:pt>
                <c:pt idx="13">
                  <c:v>عدم وجود شفافية في سوق الأوراق المالية (البورصة)</c:v>
                </c:pt>
                <c:pt idx="14">
                  <c:v>تطبيق الإجراءات الاحترازية</c:v>
                </c:pt>
                <c:pt idx="15">
                  <c:v>الحصول على الخدمات المالية والائتمانية</c:v>
                </c:pt>
                <c:pt idx="16">
                  <c:v>صعوبة شروط منح الائتمان</c:v>
                </c:pt>
                <c:pt idx="17">
                  <c:v>الجرائم والسرقات</c:v>
                </c:pt>
                <c:pt idx="18">
                  <c:v>تغير سعر الصرف</c:v>
                </c:pt>
                <c:pt idx="19">
                  <c:v> ارتفاع سعر الفائدة على القروض</c:v>
                </c:pt>
              </c:strCache>
            </c:strRef>
          </c:cat>
          <c:val>
            <c:numRef>
              <c:f>'BConstraints Fig 2-1 &amp; 2-2 '!$D$84:$D$103</c:f>
              <c:numCache>
                <c:formatCode>0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4CC3-4AA4-9DCB-B935A1DCE115}"/>
            </c:ext>
          </c:extLst>
        </c:ser>
        <c:ser>
          <c:idx val="1"/>
          <c:order val="1"/>
          <c:tx>
            <c:strRef>
              <c:f>'BConstraints Fig 2-1 &amp; 2-2 '!$F$83</c:f>
              <c:strCache>
                <c:ptCount val="1"/>
                <c:pt idx="0">
                  <c:v>يوليو – سبتمبر 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'BConstraints Fig 2-1 &amp; 2-2 '!$A$84:$A$103</c:f>
              <c:strCache>
                <c:ptCount val="20"/>
                <c:pt idx="1">
                  <c:v>ارتفاع تكاليف الإنتاج</c:v>
                </c:pt>
                <c:pt idx="2">
                  <c:v>ضعف القوة الشرائية</c:v>
                </c:pt>
                <c:pt idx="3">
                  <c:v>زيادة الرسوم المفروضة على الخدمات الحكومية</c:v>
                </c:pt>
                <c:pt idx="4">
                  <c:v>إجراءات التعامل مع الجهات الحكومية</c:v>
                </c:pt>
                <c:pt idx="5">
                  <c:v>المنظومة الضريبية</c:v>
                </c:pt>
                <c:pt idx="6">
                  <c:v>ارتفاع التضخم</c:v>
                </c:pt>
                <c:pt idx="7">
                  <c:v>عدم توفر العمالة المؤهلة</c:v>
                </c:pt>
                <c:pt idx="8">
                  <c:v>المنظومة الجمركية</c:v>
                </c:pt>
                <c:pt idx="9">
                  <c:v>تخبط السياسات الاقتصادية والمالية والنقدية</c:v>
                </c:pt>
                <c:pt idx="10">
                  <c:v>البنية التحتية</c:v>
                </c:pt>
                <c:pt idx="11">
                  <c:v>انتشار الفساد</c:v>
                </c:pt>
                <c:pt idx="12">
                  <c:v>أخرى</c:v>
                </c:pt>
                <c:pt idx="13">
                  <c:v>عدم وجود شفافية في سوق الأوراق المالية (البورصة)</c:v>
                </c:pt>
                <c:pt idx="14">
                  <c:v>تطبيق الإجراءات الاحترازية</c:v>
                </c:pt>
                <c:pt idx="15">
                  <c:v>الحصول على الخدمات المالية والائتمانية</c:v>
                </c:pt>
                <c:pt idx="16">
                  <c:v>صعوبة شروط منح الائتمان</c:v>
                </c:pt>
                <c:pt idx="17">
                  <c:v>الجرائم والسرقات</c:v>
                </c:pt>
                <c:pt idx="18">
                  <c:v>تغير سعر الصرف</c:v>
                </c:pt>
                <c:pt idx="19">
                  <c:v> ارتفاع سعر الفائدة على القروض</c:v>
                </c:pt>
              </c:strCache>
            </c:strRef>
          </c:cat>
          <c:val>
            <c:numRef>
              <c:f>'BConstraints Fig 2-1 &amp; 2-2 '!$F$84:$F$103</c:f>
              <c:numCache>
                <c:formatCode>0</c:formatCode>
                <c:ptCount val="20"/>
                <c:pt idx="1">
                  <c:v>100</c:v>
                </c:pt>
                <c:pt idx="2">
                  <c:v>72</c:v>
                </c:pt>
                <c:pt idx="3">
                  <c:v>70</c:v>
                </c:pt>
                <c:pt idx="4">
                  <c:v>68</c:v>
                </c:pt>
                <c:pt idx="5">
                  <c:v>66</c:v>
                </c:pt>
                <c:pt idx="6">
                  <c:v>55</c:v>
                </c:pt>
                <c:pt idx="7">
                  <c:v>42</c:v>
                </c:pt>
                <c:pt idx="8">
                  <c:v>39</c:v>
                </c:pt>
                <c:pt idx="9">
                  <c:v>35</c:v>
                </c:pt>
                <c:pt idx="10">
                  <c:v>23</c:v>
                </c:pt>
                <c:pt idx="11">
                  <c:v>19</c:v>
                </c:pt>
                <c:pt idx="12" formatCode="General">
                  <c:v>18</c:v>
                </c:pt>
                <c:pt idx="13">
                  <c:v>17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5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C3-4AA4-9DCB-B935A1DCE1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580736"/>
        <c:axId val="150580192"/>
      </c:barChart>
      <c:catAx>
        <c:axId val="15058073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0192"/>
        <c:crosses val="autoZero"/>
        <c:auto val="1"/>
        <c:lblAlgn val="ctr"/>
        <c:lblOffset val="100"/>
        <c:noMultiLvlLbl val="0"/>
      </c:catAx>
      <c:valAx>
        <c:axId val="150580192"/>
        <c:scaling>
          <c:orientation val="minMax"/>
          <c:max val="1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604594834835713E-2"/>
          <c:y val="0.128735543823432"/>
          <c:w val="0.89744904264807412"/>
          <c:h val="0.34033935198301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'BConstraints Fig 2-1 &amp; 2-2 '!$B$110:$B$111</c:f>
              <c:strCache>
                <c:ptCount val="2"/>
                <c:pt idx="0">
                  <c:v>Q2-2021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'BConstraints Fig 2-1 &amp; 2-2 '!$A$112:$A$130</c:f>
              <c:strCache>
                <c:ptCount val="19"/>
                <c:pt idx="0">
                  <c:v>ارتفاع تكاليف الإنتاج</c:v>
                </c:pt>
                <c:pt idx="1">
                  <c:v>ضعف القوة الشرائية</c:v>
                </c:pt>
                <c:pt idx="2">
                  <c:v>زيادة الرسوم المفروضة على الخدمات الحكومية</c:v>
                </c:pt>
                <c:pt idx="3">
                  <c:v>المنظومة الضريبية</c:v>
                </c:pt>
                <c:pt idx="4">
                  <c:v>إجراءات التعامل مع الجهات الحكومية</c:v>
                </c:pt>
                <c:pt idx="5">
                  <c:v>ارتفاع التضخم</c:v>
                </c:pt>
                <c:pt idx="6">
                  <c:v>عدم توفر العمالة المؤهلة</c:v>
                </c:pt>
                <c:pt idx="7">
                  <c:v>المنظومة الجمركية</c:v>
                </c:pt>
                <c:pt idx="8">
                  <c:v>تخبط السياسات الاقتصادية والمالية والنقدية</c:v>
                </c:pt>
                <c:pt idx="9">
                  <c:v>البنية التحتية</c:v>
                </c:pt>
                <c:pt idx="10">
                  <c:v>انتشار الفساد</c:v>
                </c:pt>
                <c:pt idx="11">
                  <c:v>عدم وجود شفافية فى سوق الاوراق المالية (البورصة)</c:v>
                </c:pt>
                <c:pt idx="12">
                  <c:v>أخري</c:v>
                </c:pt>
                <c:pt idx="13">
                  <c:v>الحصول على الخدمات المالية والائتمانية</c:v>
                </c:pt>
                <c:pt idx="14">
                  <c:v>تطبيق الإجراءات الاحترازية</c:v>
                </c:pt>
                <c:pt idx="15">
                  <c:v>صعوبة شروط منح الائتمان</c:v>
                </c:pt>
                <c:pt idx="16">
                  <c:v>الجرائم والسرقات</c:v>
                </c:pt>
                <c:pt idx="17">
                  <c:v>تغير سعر الصرف</c:v>
                </c:pt>
                <c:pt idx="18">
                  <c:v>ارتفاع سعر الفائدة على القروض</c:v>
                </c:pt>
              </c:strCache>
            </c:strRef>
          </c:cat>
          <c:val>
            <c:numRef>
              <c:f>'BConstraints Fig 2-1 &amp; 2-2 '!$B$112:$B$130</c:f>
              <c:numCache>
                <c:formatCode>0</c:formatCode>
                <c:ptCount val="19"/>
                <c:pt idx="0">
                  <c:v>100</c:v>
                </c:pt>
                <c:pt idx="1">
                  <c:v>76.10993657505287</c:v>
                </c:pt>
                <c:pt idx="2">
                  <c:v>82.015810276679844</c:v>
                </c:pt>
                <c:pt idx="3">
                  <c:v>75.268817204301087</c:v>
                </c:pt>
                <c:pt idx="4">
                  <c:v>69.930069930069934</c:v>
                </c:pt>
                <c:pt idx="5">
                  <c:v>37.634408602150543</c:v>
                </c:pt>
                <c:pt idx="6">
                  <c:v>48.87585532746823</c:v>
                </c:pt>
                <c:pt idx="7">
                  <c:v>42.383292383292378</c:v>
                </c:pt>
                <c:pt idx="8">
                  <c:v>17.10654936461388</c:v>
                </c:pt>
                <c:pt idx="9">
                  <c:v>26.881720430107531</c:v>
                </c:pt>
                <c:pt idx="10">
                  <c:v>32.258064516129039</c:v>
                </c:pt>
                <c:pt idx="11">
                  <c:v>14.167650531286894</c:v>
                </c:pt>
                <c:pt idx="12" formatCode="0_);[Red]\(0\)">
                  <c:v>0</c:v>
                </c:pt>
                <c:pt idx="13">
                  <c:v>12.487512487512488</c:v>
                </c:pt>
                <c:pt idx="14">
                  <c:v>26.973026973026975</c:v>
                </c:pt>
                <c:pt idx="15">
                  <c:v>9.2864125122189662</c:v>
                </c:pt>
                <c:pt idx="16">
                  <c:v>19.061583577712614</c:v>
                </c:pt>
                <c:pt idx="17">
                  <c:v>7.8201368523949171</c:v>
                </c:pt>
                <c:pt idx="18">
                  <c:v>3.4584980237154146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5-4D72-AC86-E650067553C1}"/>
            </c:ext>
          </c:extLst>
        </c:ser>
        <c:ser>
          <c:idx val="1"/>
          <c:order val="1"/>
          <c:tx>
            <c:strRef>
              <c:f>'BConstraints Fig 2-1 &amp; 2-2 '!$D$110:$D$111</c:f>
              <c:strCache>
                <c:ptCount val="2"/>
                <c:pt idx="0">
                  <c:v>Q2-2021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'BConstraints Fig 2-1 &amp; 2-2 '!$D$112:$D$130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0-E0F9-4F19-9E1C-205AF5AA4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75840"/>
        <c:axId val="150581824"/>
      </c:barChart>
      <c:catAx>
        <c:axId val="1505758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0581824"/>
        <c:crosses val="autoZero"/>
        <c:auto val="1"/>
        <c:lblAlgn val="ctr"/>
        <c:lblOffset val="100"/>
        <c:noMultiLvlLbl val="0"/>
      </c:catAx>
      <c:valAx>
        <c:axId val="150581824"/>
        <c:scaling>
          <c:orientation val="minMax"/>
          <c:max val="100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057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604601906861675E-2"/>
          <c:y val="0.13890517362016899"/>
          <c:w val="0.89744904264807412"/>
          <c:h val="0.3403393519830127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'BConstraints Fig 2-1 &amp; 2-2 '!$B$141:$B$142</c:f>
              <c:strCache>
                <c:ptCount val="2"/>
                <c:pt idx="0">
                  <c:v>Q2-2021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'BConstraints Fig 2-1 &amp; 2-2 '!$A$143:$A$161</c:f>
              <c:strCache>
                <c:ptCount val="19"/>
                <c:pt idx="0">
                  <c:v>إجراءات التعامل مع الجهات الحكومية</c:v>
                </c:pt>
                <c:pt idx="1">
                  <c:v>ارتفاع تكاليف الإنتاج</c:v>
                </c:pt>
                <c:pt idx="2">
                  <c:v>زيادة الرسوم المفروضة على الخدمات الحكومية</c:v>
                </c:pt>
                <c:pt idx="3">
                  <c:v>المنظومة الضريبية</c:v>
                </c:pt>
                <c:pt idx="4">
                  <c:v>ضعف القوة الشرائية</c:v>
                </c:pt>
                <c:pt idx="5">
                  <c:v>تخبط السياسات الاقتصادية والمالية والنقدية</c:v>
                </c:pt>
                <c:pt idx="6">
                  <c:v>ارتفاع التضخم</c:v>
                </c:pt>
                <c:pt idx="7">
                  <c:v>عدم توفر العمالة المؤهلة</c:v>
                </c:pt>
                <c:pt idx="8">
                  <c:v>المنظومة الجمركية</c:v>
                </c:pt>
                <c:pt idx="9">
                  <c:v>أخري</c:v>
                </c:pt>
                <c:pt idx="10">
                  <c:v>تطبيق الإجراءات الاحترازية</c:v>
                </c:pt>
                <c:pt idx="11">
                  <c:v>عدم وجود شفافية فى سوق الأوراق المالية (البورصة)</c:v>
                </c:pt>
                <c:pt idx="12">
                  <c:v>البنية التحتية</c:v>
                </c:pt>
                <c:pt idx="13">
                  <c:v>انتشار الفساد</c:v>
                </c:pt>
                <c:pt idx="14">
                  <c:v>الجرائم والسرقات</c:v>
                </c:pt>
                <c:pt idx="15">
                  <c:v>تغير سعر الصرف</c:v>
                </c:pt>
                <c:pt idx="16">
                  <c:v>صعوبة شروط منح الائتمان</c:v>
                </c:pt>
                <c:pt idx="17">
                  <c:v>الحصول على الخدمات المالية والائتمانية</c:v>
                </c:pt>
                <c:pt idx="18">
                  <c:v>ارتفاع سعر الفائدة على القروض</c:v>
                </c:pt>
              </c:strCache>
            </c:strRef>
          </c:cat>
          <c:val>
            <c:numRef>
              <c:f>'BConstraints Fig 2-1 &amp; 2-2 '!$B$112:$B$130</c:f>
              <c:numCache>
                <c:formatCode>0</c:formatCode>
                <c:ptCount val="19"/>
                <c:pt idx="0">
                  <c:v>100</c:v>
                </c:pt>
                <c:pt idx="1">
                  <c:v>76.10993657505287</c:v>
                </c:pt>
                <c:pt idx="2">
                  <c:v>82.015810276679844</c:v>
                </c:pt>
                <c:pt idx="3">
                  <c:v>75.268817204301087</c:v>
                </c:pt>
                <c:pt idx="4">
                  <c:v>69.930069930069934</c:v>
                </c:pt>
                <c:pt idx="5">
                  <c:v>37.634408602150543</c:v>
                </c:pt>
                <c:pt idx="6">
                  <c:v>48.87585532746823</c:v>
                </c:pt>
                <c:pt idx="7">
                  <c:v>42.383292383292378</c:v>
                </c:pt>
                <c:pt idx="8">
                  <c:v>17.10654936461388</c:v>
                </c:pt>
                <c:pt idx="9">
                  <c:v>26.881720430107531</c:v>
                </c:pt>
                <c:pt idx="10">
                  <c:v>32.258064516129039</c:v>
                </c:pt>
                <c:pt idx="11">
                  <c:v>14.167650531286894</c:v>
                </c:pt>
                <c:pt idx="12" formatCode="0_);[Red]\(0\)">
                  <c:v>0</c:v>
                </c:pt>
                <c:pt idx="13">
                  <c:v>12.487512487512488</c:v>
                </c:pt>
                <c:pt idx="14">
                  <c:v>26.973026973026975</c:v>
                </c:pt>
                <c:pt idx="15">
                  <c:v>9.2864125122189662</c:v>
                </c:pt>
                <c:pt idx="16">
                  <c:v>19.061583577712614</c:v>
                </c:pt>
                <c:pt idx="17">
                  <c:v>7.8201368523949171</c:v>
                </c:pt>
                <c:pt idx="18">
                  <c:v>3.4584980237154146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8858-4ABF-A238-23F8069CE5D0}"/>
            </c:ext>
          </c:extLst>
        </c:ser>
        <c:ser>
          <c:idx val="0"/>
          <c:order val="1"/>
          <c:tx>
            <c:strRef>
              <c:f>'BConstraints Fig 2-1 &amp; 2-2 '!$D$141:$D$142</c:f>
              <c:strCache>
                <c:ptCount val="2"/>
                <c:pt idx="0">
                  <c:v>Q2-2021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'BConstraints Fig 2-1 &amp; 2-2 '!$A$143:$A$161</c:f>
              <c:strCache>
                <c:ptCount val="19"/>
                <c:pt idx="0">
                  <c:v>إجراءات التعامل مع الجهات الحكومية</c:v>
                </c:pt>
                <c:pt idx="1">
                  <c:v>ارتفاع تكاليف الإنتاج</c:v>
                </c:pt>
                <c:pt idx="2">
                  <c:v>زيادة الرسوم المفروضة على الخدمات الحكومية</c:v>
                </c:pt>
                <c:pt idx="3">
                  <c:v>المنظومة الضريبية</c:v>
                </c:pt>
                <c:pt idx="4">
                  <c:v>ضعف القوة الشرائية</c:v>
                </c:pt>
                <c:pt idx="5">
                  <c:v>تخبط السياسات الاقتصادية والمالية والنقدية</c:v>
                </c:pt>
                <c:pt idx="6">
                  <c:v>ارتفاع التضخم</c:v>
                </c:pt>
                <c:pt idx="7">
                  <c:v>عدم توفر العمالة المؤهلة</c:v>
                </c:pt>
                <c:pt idx="8">
                  <c:v>المنظومة الجمركية</c:v>
                </c:pt>
                <c:pt idx="9">
                  <c:v>أخري</c:v>
                </c:pt>
                <c:pt idx="10">
                  <c:v>تطبيق الإجراءات الاحترازية</c:v>
                </c:pt>
                <c:pt idx="11">
                  <c:v>عدم وجود شفافية فى سوق الأوراق المالية (البورصة)</c:v>
                </c:pt>
                <c:pt idx="12">
                  <c:v>البنية التحتية</c:v>
                </c:pt>
                <c:pt idx="13">
                  <c:v>انتشار الفساد</c:v>
                </c:pt>
                <c:pt idx="14">
                  <c:v>الجرائم والسرقات</c:v>
                </c:pt>
                <c:pt idx="15">
                  <c:v>تغير سعر الصرف</c:v>
                </c:pt>
                <c:pt idx="16">
                  <c:v>صعوبة شروط منح الائتمان</c:v>
                </c:pt>
                <c:pt idx="17">
                  <c:v>الحصول على الخدمات المالية والائتمانية</c:v>
                </c:pt>
                <c:pt idx="18">
                  <c:v>ارتفاع سعر الفائدة على القروض</c:v>
                </c:pt>
              </c:strCache>
            </c:strRef>
          </c:cat>
          <c:val>
            <c:numRef>
              <c:f>'BConstraints Fig 2-1 &amp; 2-2 '!$D$143:$D$161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0-8858-4ABF-A238-23F8069CE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76384"/>
        <c:axId val="149566608"/>
        <c:extLst/>
      </c:barChart>
      <c:catAx>
        <c:axId val="15057638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9566608"/>
        <c:crosses val="autoZero"/>
        <c:auto val="1"/>
        <c:lblAlgn val="ctr"/>
        <c:lblOffset val="100"/>
        <c:noMultiLvlLbl val="0"/>
      </c:catAx>
      <c:valAx>
        <c:axId val="149566608"/>
        <c:scaling>
          <c:orientation val="minMax"/>
          <c:max val="100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057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43776262689216E-2"/>
          <c:y val="5.2845523380815242E-3"/>
          <c:w val="0.90811244747462161"/>
          <c:h val="0.9894308953238369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'BConstraints Fig 2-1 &amp; 2-2 '!$AQ$144:$AQ$162</c:f>
              <c:strCache>
                <c:ptCount val="19"/>
                <c:pt idx="0">
                  <c:v>إجراءات التعامل مع الجهات الحكومية</c:v>
                </c:pt>
                <c:pt idx="1">
                  <c:v>ارتفاع تكاليف الإنتاج</c:v>
                </c:pt>
                <c:pt idx="2">
                  <c:v>زيادة الرسوم المفروضة على الخدمات الحكومية</c:v>
                </c:pt>
                <c:pt idx="3">
                  <c:v>المنظومة الضريبية</c:v>
                </c:pt>
                <c:pt idx="4">
                  <c:v>ضعف القوة الشرائية</c:v>
                </c:pt>
                <c:pt idx="5">
                  <c:v>تخبط السياسات الاقتصادية والمالية والنقدية</c:v>
                </c:pt>
                <c:pt idx="6">
                  <c:v>ارتفاع التضخم</c:v>
                </c:pt>
                <c:pt idx="7">
                  <c:v>عدم توفر العمالة المؤهلة</c:v>
                </c:pt>
                <c:pt idx="8">
                  <c:v>المنظومة الجمركية</c:v>
                </c:pt>
                <c:pt idx="9">
                  <c:v>أخري</c:v>
                </c:pt>
                <c:pt idx="10">
                  <c:v>تطبيق الإجراءات الاحترازية</c:v>
                </c:pt>
                <c:pt idx="11">
                  <c:v>عدم وجود شفافية فى سوق الأوراق المالية (البورصة)</c:v>
                </c:pt>
                <c:pt idx="12">
                  <c:v>البنية التحتية</c:v>
                </c:pt>
                <c:pt idx="13">
                  <c:v>انتشار الفساد</c:v>
                </c:pt>
                <c:pt idx="14">
                  <c:v>الجرائم والسرقات</c:v>
                </c:pt>
                <c:pt idx="15">
                  <c:v>تغير سعر الصرف</c:v>
                </c:pt>
                <c:pt idx="16">
                  <c:v>صعوبة شروط منح الائتمان</c:v>
                </c:pt>
                <c:pt idx="17">
                  <c:v>الحصول على الخدمات المالية والائتمانية</c:v>
                </c:pt>
                <c:pt idx="18">
                  <c:v>ارتفاع سعر الفائدة على القروض</c:v>
                </c:pt>
              </c:strCache>
            </c:strRef>
          </c:cat>
          <c:val>
            <c:numRef>
              <c:f>'BConstraints Fig 2-1 &amp; 2-2 '!$AR$144:$AR$162</c:f>
              <c:numCache>
                <c:formatCode>General</c:formatCode>
                <c:ptCount val="19"/>
                <c:pt idx="0">
                  <c:v>100</c:v>
                </c:pt>
                <c:pt idx="1">
                  <c:v>98</c:v>
                </c:pt>
                <c:pt idx="2">
                  <c:v>72</c:v>
                </c:pt>
                <c:pt idx="3">
                  <c:v>72</c:v>
                </c:pt>
                <c:pt idx="4">
                  <c:v>58</c:v>
                </c:pt>
                <c:pt idx="5">
                  <c:v>58</c:v>
                </c:pt>
                <c:pt idx="6">
                  <c:v>44</c:v>
                </c:pt>
                <c:pt idx="7">
                  <c:v>42</c:v>
                </c:pt>
                <c:pt idx="8">
                  <c:v>33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14</c:v>
                </c:pt>
                <c:pt idx="13">
                  <c:v>12</c:v>
                </c:pt>
                <c:pt idx="14">
                  <c:v>12</c:v>
                </c:pt>
                <c:pt idx="15">
                  <c:v>7</c:v>
                </c:pt>
                <c:pt idx="16">
                  <c:v>4</c:v>
                </c:pt>
                <c:pt idx="17">
                  <c:v>4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E-4B6B-AF26-07CACA222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49567152"/>
        <c:axId val="332010576"/>
      </c:barChart>
      <c:catAx>
        <c:axId val="149567152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332010576"/>
        <c:crosses val="autoZero"/>
        <c:auto val="1"/>
        <c:lblAlgn val="ctr"/>
        <c:lblOffset val="100"/>
        <c:noMultiLvlLbl val="0"/>
      </c:catAx>
      <c:valAx>
        <c:axId val="33201057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4956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43776262689216E-2"/>
          <c:y val="5.2845523380815242E-3"/>
          <c:w val="0.90811244747462161"/>
          <c:h val="0.9894308953238369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'BConstraints Fig 2-1 &amp; 2-2 '!$AP$144:$AP$162</c:f>
              <c:numCache>
                <c:formatCode>General</c:formatCode>
                <c:ptCount val="19"/>
                <c:pt idx="0">
                  <c:v>63</c:v>
                </c:pt>
                <c:pt idx="1">
                  <c:v>100</c:v>
                </c:pt>
                <c:pt idx="2">
                  <c:v>68</c:v>
                </c:pt>
                <c:pt idx="3">
                  <c:v>64</c:v>
                </c:pt>
                <c:pt idx="4">
                  <c:v>73</c:v>
                </c:pt>
                <c:pt idx="5">
                  <c:v>31</c:v>
                </c:pt>
                <c:pt idx="6">
                  <c:v>55</c:v>
                </c:pt>
                <c:pt idx="7">
                  <c:v>42</c:v>
                </c:pt>
                <c:pt idx="8">
                  <c:v>39</c:v>
                </c:pt>
                <c:pt idx="9">
                  <c:v>15</c:v>
                </c:pt>
                <c:pt idx="10">
                  <c:v>9</c:v>
                </c:pt>
                <c:pt idx="11">
                  <c:v>15</c:v>
                </c:pt>
                <c:pt idx="12">
                  <c:v>24</c:v>
                </c:pt>
                <c:pt idx="13">
                  <c:v>20</c:v>
                </c:pt>
                <c:pt idx="14">
                  <c:v>7</c:v>
                </c:pt>
                <c:pt idx="15">
                  <c:v>5</c:v>
                </c:pt>
                <c:pt idx="16">
                  <c:v>9</c:v>
                </c:pt>
                <c:pt idx="17">
                  <c:v>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C-44AE-8B3C-6BED4B128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332011120"/>
        <c:axId val="332007312"/>
      </c:barChart>
      <c:catAx>
        <c:axId val="332011120"/>
        <c:scaling>
          <c:orientation val="maxMin"/>
        </c:scaling>
        <c:delete val="1"/>
        <c:axPos val="r"/>
        <c:numFmt formatCode="General" sourceLinked="1"/>
        <c:majorTickMark val="out"/>
        <c:minorTickMark val="none"/>
        <c:tickLblPos val="nextTo"/>
        <c:crossAx val="332007312"/>
        <c:crosses val="autoZero"/>
        <c:auto val="1"/>
        <c:lblAlgn val="ctr"/>
        <c:lblOffset val="100"/>
        <c:noMultiLvlLbl val="0"/>
      </c:catAx>
      <c:valAx>
        <c:axId val="332007312"/>
        <c:scaling>
          <c:orientation val="maxMin"/>
        </c:scaling>
        <c:delete val="1"/>
        <c:axPos val="t"/>
        <c:numFmt formatCode="General" sourceLinked="1"/>
        <c:majorTickMark val="out"/>
        <c:minorTickMark val="none"/>
        <c:tickLblPos val="nextTo"/>
        <c:crossAx val="33201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66020082456246"/>
          <c:y val="2.4469654545525289E-2"/>
          <c:w val="0.53772686595287988"/>
          <c:h val="0.89416002684164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'BConstraints Fig 2-1 &amp; 2-2 '!$F$83:$F$84</c:f>
              <c:strCache>
                <c:ptCount val="2"/>
                <c:pt idx="0">
                  <c:v>يوليو – سبتمبر 2021</c:v>
                </c:pt>
              </c:strCache>
            </c:strRef>
          </c:tx>
          <c:spPr>
            <a:solidFill>
              <a:srgbClr val="01627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16273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'BConstraints Fig 2-1 &amp; 2-2 '!$A$85:$A$103</c:f>
              <c:strCache>
                <c:ptCount val="19"/>
                <c:pt idx="0">
                  <c:v>ارتفاع تكاليف الإنتاج</c:v>
                </c:pt>
                <c:pt idx="1">
                  <c:v>ضعف القوة الشرائية</c:v>
                </c:pt>
                <c:pt idx="2">
                  <c:v>زيادة الرسوم المفروضة على الخدمات الحكومية</c:v>
                </c:pt>
                <c:pt idx="3">
                  <c:v>إجراءات التعامل مع الجهات الحكومية</c:v>
                </c:pt>
                <c:pt idx="4">
                  <c:v>المنظومة الضريبية</c:v>
                </c:pt>
                <c:pt idx="5">
                  <c:v>ارتفاع التضخم</c:v>
                </c:pt>
                <c:pt idx="6">
                  <c:v>عدم توفر العمالة المؤهلة</c:v>
                </c:pt>
                <c:pt idx="7">
                  <c:v>المنظومة الجمركية</c:v>
                </c:pt>
                <c:pt idx="8">
                  <c:v>تخبط السياسات الاقتصادية والمالية والنقدية</c:v>
                </c:pt>
                <c:pt idx="9">
                  <c:v>البنية التحتية</c:v>
                </c:pt>
                <c:pt idx="10">
                  <c:v>انتشار الفساد</c:v>
                </c:pt>
                <c:pt idx="11">
                  <c:v>أخرى</c:v>
                </c:pt>
                <c:pt idx="12">
                  <c:v>عدم وجود شفافية في سوق الأوراق المالية (البورصة)</c:v>
                </c:pt>
                <c:pt idx="13">
                  <c:v>تطبيق الإجراءات الاحترازية</c:v>
                </c:pt>
                <c:pt idx="14">
                  <c:v>الحصول على الخدمات المالية والائتمانية</c:v>
                </c:pt>
                <c:pt idx="15">
                  <c:v>صعوبة شروط منح الائتمان</c:v>
                </c:pt>
                <c:pt idx="16">
                  <c:v>الجرائم والسرقات</c:v>
                </c:pt>
                <c:pt idx="17">
                  <c:v>تغير سعر الصرف</c:v>
                </c:pt>
                <c:pt idx="18">
                  <c:v> ارتفاع سعر الفائدة على القروض</c:v>
                </c:pt>
              </c:strCache>
            </c:strRef>
          </c:cat>
          <c:val>
            <c:numRef>
              <c:f>'BConstraints Fig 2-1 &amp; 2-2 '!$F$85:$F$103</c:f>
              <c:numCache>
                <c:formatCode>0</c:formatCode>
                <c:ptCount val="19"/>
                <c:pt idx="0">
                  <c:v>100</c:v>
                </c:pt>
                <c:pt idx="1">
                  <c:v>72</c:v>
                </c:pt>
                <c:pt idx="2">
                  <c:v>70</c:v>
                </c:pt>
                <c:pt idx="3">
                  <c:v>68</c:v>
                </c:pt>
                <c:pt idx="4">
                  <c:v>66</c:v>
                </c:pt>
                <c:pt idx="5">
                  <c:v>55</c:v>
                </c:pt>
                <c:pt idx="6">
                  <c:v>42</c:v>
                </c:pt>
                <c:pt idx="7">
                  <c:v>39</c:v>
                </c:pt>
                <c:pt idx="8">
                  <c:v>35</c:v>
                </c:pt>
                <c:pt idx="9">
                  <c:v>23</c:v>
                </c:pt>
                <c:pt idx="10">
                  <c:v>19</c:v>
                </c:pt>
                <c:pt idx="11" formatCode="General">
                  <c:v>18</c:v>
                </c:pt>
                <c:pt idx="12">
                  <c:v>17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5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E6-4C06-A2AA-C7D18FC9FBD6}"/>
            </c:ext>
          </c:extLst>
        </c:ser>
        <c:ser>
          <c:idx val="1"/>
          <c:order val="1"/>
          <c:tx>
            <c:strRef>
              <c:f>'BConstraints Fig 2-1 &amp; 2-2 '!$D$83</c:f>
              <c:strCache>
                <c:ptCount val="1"/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1"/>
              <c:layout>
                <c:manualLayout>
                  <c:x val="-2.277852236442855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91-47D8-8B34-4A9AF4606D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'BConstraints Fig 2-1 &amp; 2-2 '!$A$85:$A$103</c:f>
              <c:strCache>
                <c:ptCount val="19"/>
                <c:pt idx="0">
                  <c:v>ارتفاع تكاليف الإنتاج</c:v>
                </c:pt>
                <c:pt idx="1">
                  <c:v>ضعف القوة الشرائية</c:v>
                </c:pt>
                <c:pt idx="2">
                  <c:v>زيادة الرسوم المفروضة على الخدمات الحكومية</c:v>
                </c:pt>
                <c:pt idx="3">
                  <c:v>إجراءات التعامل مع الجهات الحكومية</c:v>
                </c:pt>
                <c:pt idx="4">
                  <c:v>المنظومة الضريبية</c:v>
                </c:pt>
                <c:pt idx="5">
                  <c:v>ارتفاع التضخم</c:v>
                </c:pt>
                <c:pt idx="6">
                  <c:v>عدم توفر العمالة المؤهلة</c:v>
                </c:pt>
                <c:pt idx="7">
                  <c:v>المنظومة الجمركية</c:v>
                </c:pt>
                <c:pt idx="8">
                  <c:v>تخبط السياسات الاقتصادية والمالية والنقدية</c:v>
                </c:pt>
                <c:pt idx="9">
                  <c:v>البنية التحتية</c:v>
                </c:pt>
                <c:pt idx="10">
                  <c:v>انتشار الفساد</c:v>
                </c:pt>
                <c:pt idx="11">
                  <c:v>أخرى</c:v>
                </c:pt>
                <c:pt idx="12">
                  <c:v>عدم وجود شفافية في سوق الأوراق المالية (البورصة)</c:v>
                </c:pt>
                <c:pt idx="13">
                  <c:v>تطبيق الإجراءات الاحترازية</c:v>
                </c:pt>
                <c:pt idx="14">
                  <c:v>الحصول على الخدمات المالية والائتمانية</c:v>
                </c:pt>
                <c:pt idx="15">
                  <c:v>صعوبة شروط منح الائتمان</c:v>
                </c:pt>
                <c:pt idx="16">
                  <c:v>الجرائم والسرقات</c:v>
                </c:pt>
                <c:pt idx="17">
                  <c:v>تغير سعر الصرف</c:v>
                </c:pt>
                <c:pt idx="18">
                  <c:v> ارتفاع سعر الفائدة على القروض</c:v>
                </c:pt>
              </c:strCache>
            </c:strRef>
          </c:cat>
          <c:val>
            <c:numRef>
              <c:f>'BConstraints Fig 2-1 &amp; 2-2 '!$D$85:$D$103</c:f>
              <c:numCache>
                <c:formatCode>0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0-FCE6-4C06-A2AA-C7D18FC9F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332001872"/>
        <c:axId val="332012752"/>
      </c:barChart>
      <c:catAx>
        <c:axId val="332001872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332012752"/>
        <c:crosses val="autoZero"/>
        <c:auto val="1"/>
        <c:lblAlgn val="ctr"/>
        <c:lblOffset val="100"/>
        <c:noMultiLvlLbl val="0"/>
      </c:catAx>
      <c:valAx>
        <c:axId val="332012752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33200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6629361605006964E-5"/>
          <c:y val="0.86659780555222066"/>
          <c:w val="0.17855717644825278"/>
          <c:h val="0.13209397127152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66020082456246"/>
          <c:y val="2.4469654545525289E-2"/>
          <c:w val="0.53772686595287988"/>
          <c:h val="0.894160026841644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'BConstraints Fig 2-1 &amp; 2-2 '!$BW$1:$BX$1</c:f>
              <c:strCache>
                <c:ptCount val="1"/>
                <c:pt idx="0">
                  <c:v>يوليو - سبتمبر 2025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'BConstraints Fig 2-1 &amp; 2-2 '!$F$3:$F$20</c:f>
              <c:strCache>
                <c:ptCount val="18"/>
                <c:pt idx="0">
                  <c:v>ارتفاع تكاليف الطاقة والمياه</c:v>
                </c:pt>
                <c:pt idx="1">
                  <c:v>المشكلات المرتبطة بإجراءات التصدير</c:v>
                </c:pt>
                <c:pt idx="2">
                  <c:v>زيادة الرسوم المفروضة على الخدمات الحكومية</c:v>
                </c:pt>
                <c:pt idx="3">
                  <c:v>إجراءات التعامل مع الجهات الحكومية</c:v>
                </c:pt>
                <c:pt idx="4">
                  <c:v>المنظومة الضريبية</c:v>
                </c:pt>
                <c:pt idx="5">
                  <c:v>ارتفاع التضخم</c:v>
                </c:pt>
                <c:pt idx="6">
                  <c:v>صعوبة الحصول علي العمالة المؤهلة</c:v>
                </c:pt>
                <c:pt idx="7">
                  <c:v>المنظومة الجمركية</c:v>
                </c:pt>
                <c:pt idx="8">
                  <c:v>تخبط السياسات الاقتصادية</c:v>
                </c:pt>
                <c:pt idx="9">
                  <c:v>إنقطاع الكهرباء</c:v>
                </c:pt>
                <c:pt idx="10">
                  <c:v>غياب المعلومات عن السوق المحلي والخارجي</c:v>
                </c:pt>
                <c:pt idx="11">
                  <c:v>أخرى</c:v>
                </c:pt>
                <c:pt idx="12">
                  <c:v>عدم تفضيل المنتج المحلي في التعاقدات الحكومية</c:v>
                </c:pt>
                <c:pt idx="13">
                  <c:v>المنافسة غير العادلة من الدولة</c:v>
                </c:pt>
                <c:pt idx="14">
                  <c:v>صعوبة الحصول على  التمويل</c:v>
                </c:pt>
                <c:pt idx="15">
                  <c:v>عدم وضوح توجهات السياسة الاقتصادية في المستقبل</c:v>
                </c:pt>
                <c:pt idx="16">
                  <c:v> سعر الصرف</c:v>
                </c:pt>
                <c:pt idx="17">
                  <c:v>النقل واللوجستيات</c:v>
                </c:pt>
              </c:strCache>
            </c:strRef>
          </c:cat>
          <c:val>
            <c:numRef>
              <c:f>'BConstraints Fig 2-1 &amp; 2-2 '!$BX$3:$BX$20</c:f>
              <c:numCache>
                <c:formatCode>0</c:formatCode>
                <c:ptCount val="18"/>
                <c:pt idx="0">
                  <c:v>89.968652037617559</c:v>
                </c:pt>
                <c:pt idx="1">
                  <c:v>11.285266457680251</c:v>
                </c:pt>
                <c:pt idx="2">
                  <c:v>42.63322884012539</c:v>
                </c:pt>
                <c:pt idx="3">
                  <c:v>49.216300940438877</c:v>
                </c:pt>
                <c:pt idx="4">
                  <c:v>57.053291536050153</c:v>
                </c:pt>
                <c:pt idx="5">
                  <c:v>100</c:v>
                </c:pt>
                <c:pt idx="6">
                  <c:v>59.56112852664576</c:v>
                </c:pt>
                <c:pt idx="7">
                  <c:v>26.332288401253923</c:v>
                </c:pt>
                <c:pt idx="8">
                  <c:v>33.228840125391848</c:v>
                </c:pt>
                <c:pt idx="9">
                  <c:v>9.7178683385579951</c:v>
                </c:pt>
                <c:pt idx="10">
                  <c:v>23.197492163009407</c:v>
                </c:pt>
                <c:pt idx="11">
                  <c:v>13.793103448275861</c:v>
                </c:pt>
                <c:pt idx="12">
                  <c:v>7.523510971786834</c:v>
                </c:pt>
                <c:pt idx="13">
                  <c:v>10.344827586206899</c:v>
                </c:pt>
                <c:pt idx="14">
                  <c:v>25.078369905956109</c:v>
                </c:pt>
                <c:pt idx="15">
                  <c:v>42.946708463949847</c:v>
                </c:pt>
                <c:pt idx="16">
                  <c:v>33.855799373040753</c:v>
                </c:pt>
                <c:pt idx="17">
                  <c:v>46.081504702194366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B6-4FC5-B1CD-ABA611AD99E1}"/>
            </c:ext>
          </c:extLst>
        </c:ser>
        <c:ser>
          <c:idx val="0"/>
          <c:order val="1"/>
          <c:tx>
            <c:strRef>
              <c:f>'BConstraints Fig 2-1 &amp; 2-2 '!$BU$1</c:f>
              <c:strCache>
                <c:ptCount val="1"/>
                <c:pt idx="0">
                  <c:v>أبريل– يونيو 2025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'BConstraints Fig 2-1 &amp; 2-2 '!$F$3:$F$20</c:f>
              <c:strCache>
                <c:ptCount val="18"/>
                <c:pt idx="0">
                  <c:v>ارتفاع تكاليف الطاقة والمياه</c:v>
                </c:pt>
                <c:pt idx="1">
                  <c:v>المشكلات المرتبطة بإجراءات التصدير</c:v>
                </c:pt>
                <c:pt idx="2">
                  <c:v>زيادة الرسوم المفروضة على الخدمات الحكومية</c:v>
                </c:pt>
                <c:pt idx="3">
                  <c:v>إجراءات التعامل مع الجهات الحكومية</c:v>
                </c:pt>
                <c:pt idx="4">
                  <c:v>المنظومة الضريبية</c:v>
                </c:pt>
                <c:pt idx="5">
                  <c:v>ارتفاع التضخم</c:v>
                </c:pt>
                <c:pt idx="6">
                  <c:v>صعوبة الحصول علي العمالة المؤهلة</c:v>
                </c:pt>
                <c:pt idx="7">
                  <c:v>المنظومة الجمركية</c:v>
                </c:pt>
                <c:pt idx="8">
                  <c:v>تخبط السياسات الاقتصادية</c:v>
                </c:pt>
                <c:pt idx="9">
                  <c:v>إنقطاع الكهرباء</c:v>
                </c:pt>
                <c:pt idx="10">
                  <c:v>غياب المعلومات عن السوق المحلي والخارجي</c:v>
                </c:pt>
                <c:pt idx="11">
                  <c:v>أخرى</c:v>
                </c:pt>
                <c:pt idx="12">
                  <c:v>عدم تفضيل المنتج المحلي في التعاقدات الحكومية</c:v>
                </c:pt>
                <c:pt idx="13">
                  <c:v>المنافسة غير العادلة من الدولة</c:v>
                </c:pt>
                <c:pt idx="14">
                  <c:v>صعوبة الحصول على  التمويل</c:v>
                </c:pt>
                <c:pt idx="15">
                  <c:v>عدم وضوح توجهات السياسة الاقتصادية في المستقبل</c:v>
                </c:pt>
                <c:pt idx="16">
                  <c:v> سعر الصرف</c:v>
                </c:pt>
                <c:pt idx="17">
                  <c:v>النقل واللوجستيات</c:v>
                </c:pt>
              </c:strCache>
            </c:strRef>
          </c:cat>
          <c:val>
            <c:numRef>
              <c:f>'BConstraints Fig 2-1 &amp; 2-2 '!$BV$3:$BV$20</c:f>
              <c:numCache>
                <c:formatCode>0</c:formatCode>
                <c:ptCount val="18"/>
                <c:pt idx="0">
                  <c:v>100</c:v>
                </c:pt>
                <c:pt idx="1">
                  <c:v>19.558359621451103</c:v>
                </c:pt>
                <c:pt idx="2">
                  <c:v>64.353312302839115</c:v>
                </c:pt>
                <c:pt idx="3">
                  <c:v>71.608832807570977</c:v>
                </c:pt>
                <c:pt idx="4">
                  <c:v>61.829652996845432</c:v>
                </c:pt>
                <c:pt idx="5">
                  <c:v>96.52996845425865</c:v>
                </c:pt>
                <c:pt idx="6">
                  <c:v>45.425867507886437</c:v>
                </c:pt>
                <c:pt idx="7">
                  <c:v>27.760252365930597</c:v>
                </c:pt>
                <c:pt idx="8">
                  <c:v>48.264984227129325</c:v>
                </c:pt>
                <c:pt idx="9">
                  <c:v>11.987381703470032</c:v>
                </c:pt>
                <c:pt idx="10">
                  <c:v>36.593059936908517</c:v>
                </c:pt>
                <c:pt idx="11">
                  <c:v>24.921135646687695</c:v>
                </c:pt>
                <c:pt idx="12">
                  <c:v>8.8328075709779181</c:v>
                </c:pt>
                <c:pt idx="13">
                  <c:v>21.451104100946374</c:v>
                </c:pt>
                <c:pt idx="14">
                  <c:v>26.813880126182969</c:v>
                </c:pt>
                <c:pt idx="15">
                  <c:v>70.977917981072551</c:v>
                </c:pt>
                <c:pt idx="16">
                  <c:v>41.640378548895903</c:v>
                </c:pt>
                <c:pt idx="17">
                  <c:v>40.378548895899058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6-4FC5-B1CD-ABA611AD99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332011664"/>
        <c:axId val="332005680"/>
      </c:barChart>
      <c:catAx>
        <c:axId val="332011664"/>
        <c:scaling>
          <c:orientation val="maxMin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332005680"/>
        <c:crosses val="autoZero"/>
        <c:auto val="1"/>
        <c:lblAlgn val="ctr"/>
        <c:lblOffset val="100"/>
        <c:noMultiLvlLbl val="0"/>
      </c:catAx>
      <c:valAx>
        <c:axId val="332005680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33201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8937422755599809E-2"/>
          <c:y val="0.90089075433293619"/>
          <c:w val="0.22077606804567873"/>
          <c:h val="8.7723154374195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762059914924427E-2"/>
          <c:y val="0"/>
          <c:w val="0.86576541816120534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'BConstraints Fig 2-1 &amp; 2-2 '!$BW$23</c:f>
              <c:strCache>
                <c:ptCount val="1"/>
                <c:pt idx="0">
                  <c:v>الشركات الكبيرة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'BConstraints Fig 2-1 &amp; 2-2 '!$F$24:$F$41</c:f>
              <c:strCache>
                <c:ptCount val="18"/>
                <c:pt idx="0">
                  <c:v>ارتفاع تكاليف الطاقة والمياه</c:v>
                </c:pt>
                <c:pt idx="1">
                  <c:v>المشكلات المرتبطة بإجراءات التصدير</c:v>
                </c:pt>
                <c:pt idx="2">
                  <c:v>زيادة الرسوم المفروضة على الخدمات الحكومية</c:v>
                </c:pt>
                <c:pt idx="3">
                  <c:v>إجراءات التعامل مع الجهات الحكومية</c:v>
                </c:pt>
                <c:pt idx="4">
                  <c:v>المنظومة الضريبية</c:v>
                </c:pt>
                <c:pt idx="5">
                  <c:v>ارتفاع التضخم</c:v>
                </c:pt>
                <c:pt idx="6">
                  <c:v>صعوبة الحصول علي العمالة المؤهلة</c:v>
                </c:pt>
                <c:pt idx="7">
                  <c:v>المنظومة الجمركية</c:v>
                </c:pt>
                <c:pt idx="8">
                  <c:v>تخبط السياسات الاقتصادية</c:v>
                </c:pt>
                <c:pt idx="9">
                  <c:v>إنقطاع الكهرباء</c:v>
                </c:pt>
                <c:pt idx="10">
                  <c:v>غياب المعلومات عن السوق المحلي والخارجي</c:v>
                </c:pt>
                <c:pt idx="11">
                  <c:v>أخرى</c:v>
                </c:pt>
                <c:pt idx="12">
                  <c:v>عدم تفضيل المنتج المحلي في التعاقدات الحكومية</c:v>
                </c:pt>
                <c:pt idx="13">
                  <c:v>المنافسة غير العادلة من الدولة</c:v>
                </c:pt>
                <c:pt idx="14">
                  <c:v>صعوبة الحصول على  التمويل</c:v>
                </c:pt>
                <c:pt idx="15">
                  <c:v>عدم وضوح توجهات السياسة الاقتصادية في المستقبل</c:v>
                </c:pt>
                <c:pt idx="16">
                  <c:v> سعر الصرف</c:v>
                </c:pt>
                <c:pt idx="17">
                  <c:v>النقل واللوجستيات</c:v>
                </c:pt>
              </c:strCache>
            </c:strRef>
          </c:cat>
          <c:val>
            <c:numRef>
              <c:f>'BConstraints Fig 2-1 &amp; 2-2 '!$BW$24:$BW$41</c:f>
              <c:numCache>
                <c:formatCode>0</c:formatCode>
                <c:ptCount val="18"/>
                <c:pt idx="0">
                  <c:v>96.666666666666671</c:v>
                </c:pt>
                <c:pt idx="1">
                  <c:v>16.666666666666664</c:v>
                </c:pt>
                <c:pt idx="2">
                  <c:v>40</c:v>
                </c:pt>
                <c:pt idx="3">
                  <c:v>38.333333333333343</c:v>
                </c:pt>
                <c:pt idx="4">
                  <c:v>40</c:v>
                </c:pt>
                <c:pt idx="5">
                  <c:v>100</c:v>
                </c:pt>
                <c:pt idx="6">
                  <c:v>55.000000000000007</c:v>
                </c:pt>
                <c:pt idx="7">
                  <c:v>31.666666666666671</c:v>
                </c:pt>
                <c:pt idx="8">
                  <c:v>35</c:v>
                </c:pt>
                <c:pt idx="9">
                  <c:v>11.666666666666666</c:v>
                </c:pt>
                <c:pt idx="10">
                  <c:v>25</c:v>
                </c:pt>
                <c:pt idx="11">
                  <c:v>6.6666666666666679</c:v>
                </c:pt>
                <c:pt idx="12">
                  <c:v>3.3333333333333339</c:v>
                </c:pt>
                <c:pt idx="13">
                  <c:v>5</c:v>
                </c:pt>
                <c:pt idx="14">
                  <c:v>18.333333333333339</c:v>
                </c:pt>
                <c:pt idx="15">
                  <c:v>38.333333333333343</c:v>
                </c:pt>
                <c:pt idx="16">
                  <c:v>26.666666666666671</c:v>
                </c:pt>
                <c:pt idx="17">
                  <c:v>36.666666666666679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1-43D2-944A-0EAC215406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332002416"/>
        <c:axId val="331999152"/>
      </c:barChart>
      <c:catAx>
        <c:axId val="33200241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331999152"/>
        <c:crosses val="autoZero"/>
        <c:auto val="1"/>
        <c:lblAlgn val="ctr"/>
        <c:lblOffset val="100"/>
        <c:noMultiLvlLbl val="0"/>
      </c:catAx>
      <c:valAx>
        <c:axId val="331999152"/>
        <c:scaling>
          <c:orientation val="minMax"/>
          <c:max val="100"/>
        </c:scaling>
        <c:delete val="0"/>
        <c:axPos val="b"/>
        <c:numFmt formatCode="0" sourceLinked="1"/>
        <c:majorTickMark val="out"/>
        <c:minorTickMark val="none"/>
        <c:tickLblPos val="nextTo"/>
        <c:crossAx val="33200241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01794647463938"/>
          <c:y val="5.2845523380815242E-3"/>
          <c:w val="0.83403818112479555"/>
          <c:h val="0.994715563061581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'BConstraints Fig 2-1 &amp; 2-2 '!$BX$23</c:f>
              <c:strCache>
                <c:ptCount val="1"/>
                <c:pt idx="0">
                  <c:v>الشركات الصغيرة والمتوسطة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'BConstraints Fig 2-1 &amp; 2-2 '!$F$24:$F$41</c:f>
              <c:strCache>
                <c:ptCount val="18"/>
                <c:pt idx="0">
                  <c:v>ارتفاع تكاليف الطاقة والمياه</c:v>
                </c:pt>
                <c:pt idx="1">
                  <c:v>المشكلات المرتبطة بإجراءات التصدير</c:v>
                </c:pt>
                <c:pt idx="2">
                  <c:v>زيادة الرسوم المفروضة على الخدمات الحكومية</c:v>
                </c:pt>
                <c:pt idx="3">
                  <c:v>إجراءات التعامل مع الجهات الحكومية</c:v>
                </c:pt>
                <c:pt idx="4">
                  <c:v>المنظومة الضريبية</c:v>
                </c:pt>
                <c:pt idx="5">
                  <c:v>ارتفاع التضخم</c:v>
                </c:pt>
                <c:pt idx="6">
                  <c:v>صعوبة الحصول علي العمالة المؤهلة</c:v>
                </c:pt>
                <c:pt idx="7">
                  <c:v>المنظومة الجمركية</c:v>
                </c:pt>
                <c:pt idx="8">
                  <c:v>تخبط السياسات الاقتصادية</c:v>
                </c:pt>
                <c:pt idx="9">
                  <c:v>إنقطاع الكهرباء</c:v>
                </c:pt>
                <c:pt idx="10">
                  <c:v>غياب المعلومات عن السوق المحلي والخارجي</c:v>
                </c:pt>
                <c:pt idx="11">
                  <c:v>أخرى</c:v>
                </c:pt>
                <c:pt idx="12">
                  <c:v>عدم تفضيل المنتج المحلي في التعاقدات الحكومية</c:v>
                </c:pt>
                <c:pt idx="13">
                  <c:v>المنافسة غير العادلة من الدولة</c:v>
                </c:pt>
                <c:pt idx="14">
                  <c:v>صعوبة الحصول على  التمويل</c:v>
                </c:pt>
                <c:pt idx="15">
                  <c:v>عدم وضوح توجهات السياسة الاقتصادية في المستقبل</c:v>
                </c:pt>
                <c:pt idx="16">
                  <c:v> سعر الصرف</c:v>
                </c:pt>
                <c:pt idx="17">
                  <c:v>النقل واللوجستيات</c:v>
                </c:pt>
              </c:strCache>
            </c:strRef>
          </c:cat>
          <c:val>
            <c:numRef>
              <c:f>'BConstraints Fig 2-1 &amp; 2-2 '!$BX$24:$BX$41</c:f>
              <c:numCache>
                <c:formatCode>0</c:formatCode>
                <c:ptCount val="18"/>
                <c:pt idx="0">
                  <c:v>88.416988416988417</c:v>
                </c:pt>
                <c:pt idx="1">
                  <c:v>10.038610038610038</c:v>
                </c:pt>
                <c:pt idx="2">
                  <c:v>43.243243243243242</c:v>
                </c:pt>
                <c:pt idx="3">
                  <c:v>51.737451737451735</c:v>
                </c:pt>
                <c:pt idx="4">
                  <c:v>61.003861003861005</c:v>
                </c:pt>
                <c:pt idx="5">
                  <c:v>100</c:v>
                </c:pt>
                <c:pt idx="6">
                  <c:v>61.003861003861005</c:v>
                </c:pt>
                <c:pt idx="7">
                  <c:v>25.096525096525095</c:v>
                </c:pt>
                <c:pt idx="8">
                  <c:v>32.818532818532816</c:v>
                </c:pt>
                <c:pt idx="9">
                  <c:v>9.2664092664092657</c:v>
                </c:pt>
                <c:pt idx="10">
                  <c:v>22.779922779922785</c:v>
                </c:pt>
                <c:pt idx="11">
                  <c:v>15.444015444015443</c:v>
                </c:pt>
                <c:pt idx="12">
                  <c:v>8.494208494208495</c:v>
                </c:pt>
                <c:pt idx="13">
                  <c:v>11.583011583011583</c:v>
                </c:pt>
                <c:pt idx="14">
                  <c:v>26.640926640926644</c:v>
                </c:pt>
                <c:pt idx="15">
                  <c:v>44.015444015444011</c:v>
                </c:pt>
                <c:pt idx="16">
                  <c:v>35.521235521235525</c:v>
                </c:pt>
                <c:pt idx="17">
                  <c:v>48.262548262548258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0-4C4A-BC6B-AA849F046F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332013840"/>
        <c:axId val="332001328"/>
      </c:barChart>
      <c:catAx>
        <c:axId val="33201384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crossAx val="332001328"/>
        <c:crosses val="autoZero"/>
        <c:auto val="1"/>
        <c:lblAlgn val="ctr"/>
        <c:lblOffset val="100"/>
        <c:noMultiLvlLbl val="0"/>
      </c:catAx>
      <c:valAx>
        <c:axId val="332001328"/>
        <c:scaling>
          <c:orientation val="maxMin"/>
          <c:max val="100"/>
        </c:scaling>
        <c:delete val="0"/>
        <c:axPos val="t"/>
        <c:numFmt formatCode="0" sourceLinked="1"/>
        <c:majorTickMark val="out"/>
        <c:minorTickMark val="none"/>
        <c:tickLblPos val="nextTo"/>
        <c:crossAx val="33201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762059914924427E-2"/>
          <c:y val="0"/>
          <c:w val="0.86576541816120534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'BConstraints Fig 2-1 &amp; 2-2 '!$BS$23</c:f>
              <c:strCache>
                <c:ptCount val="1"/>
                <c:pt idx="0">
                  <c:v>الشركات الكبيرة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'BConstraints Fig 2-1 &amp; 2-2 '!$E$24:$E$41</c:f>
              <c:strCache>
                <c:ptCount val="18"/>
                <c:pt idx="0">
                  <c:v>High costs of energy and water</c:v>
                </c:pt>
                <c:pt idx="1">
                  <c:v>Export procedures</c:v>
                </c:pt>
                <c:pt idx="2">
                  <c:v>Increased government fees</c:v>
                </c:pt>
                <c:pt idx="3">
                  <c:v>Government procedures</c:v>
                </c:pt>
                <c:pt idx="4">
                  <c:v>Taxation system</c:v>
                </c:pt>
                <c:pt idx="5">
                  <c:v>High inflation</c:v>
                </c:pt>
                <c:pt idx="6">
                  <c:v>Difficulty in finding qualified labor</c:v>
                </c:pt>
                <c:pt idx="7">
                  <c:v>Customs</c:v>
                </c:pt>
                <c:pt idx="8">
                  <c:v>Unstable economic policies</c:v>
                </c:pt>
                <c:pt idx="9">
                  <c:v>Power outage</c:v>
                </c:pt>
                <c:pt idx="10">
                  <c:v>Lack of information on domestic and foreign markets</c:v>
                </c:pt>
                <c:pt idx="11">
                  <c:v>Others</c:v>
                </c:pt>
                <c:pt idx="12">
                  <c:v>Government contracts don't give priority to locally manufactured products</c:v>
                </c:pt>
                <c:pt idx="13">
                  <c:v>Unfair competition from the state</c:v>
                </c:pt>
                <c:pt idx="14">
                  <c:v>Difficulty in obtaining funding</c:v>
                </c:pt>
                <c:pt idx="15">
                  <c:v>Economic policy uncertainty</c:v>
                </c:pt>
                <c:pt idx="16">
                  <c:v>Exchange rate</c:v>
                </c:pt>
                <c:pt idx="17">
                  <c:v>Transportation and logistics</c:v>
                </c:pt>
              </c:strCache>
            </c:strRef>
          </c:cat>
          <c:val>
            <c:numRef>
              <c:f>'BConstraints Fig 2-1 &amp; 2-2 '!$BS$24:$BS$41</c:f>
              <c:numCache>
                <c:formatCode>0</c:formatCode>
                <c:ptCount val="18"/>
                <c:pt idx="0">
                  <c:v>71.875</c:v>
                </c:pt>
                <c:pt idx="1">
                  <c:v>7.8124999999999982</c:v>
                </c:pt>
                <c:pt idx="2">
                  <c:v>37.499999999999993</c:v>
                </c:pt>
                <c:pt idx="3">
                  <c:v>32.812499999999993</c:v>
                </c:pt>
                <c:pt idx="4">
                  <c:v>45.312499999999993</c:v>
                </c:pt>
                <c:pt idx="5">
                  <c:v>100</c:v>
                </c:pt>
                <c:pt idx="6">
                  <c:v>21.874999999999996</c:v>
                </c:pt>
                <c:pt idx="7">
                  <c:v>28.125000000000007</c:v>
                </c:pt>
                <c:pt idx="8">
                  <c:v>14.062500000000004</c:v>
                </c:pt>
                <c:pt idx="9">
                  <c:v>6.25</c:v>
                </c:pt>
                <c:pt idx="10">
                  <c:v>9.3749999999999982</c:v>
                </c:pt>
                <c:pt idx="11">
                  <c:v>12.5</c:v>
                </c:pt>
                <c:pt idx="12">
                  <c:v>3.125</c:v>
                </c:pt>
                <c:pt idx="13">
                  <c:v>7.8124999999999982</c:v>
                </c:pt>
                <c:pt idx="14">
                  <c:v>20.3125</c:v>
                </c:pt>
                <c:pt idx="15">
                  <c:v>43.749999999999993</c:v>
                </c:pt>
                <c:pt idx="16">
                  <c:v>53.124999999999986</c:v>
                </c:pt>
                <c:pt idx="17">
                  <c:v>42.1875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D-40FA-86A2-BCDA6220E0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332013296"/>
        <c:axId val="332009488"/>
      </c:barChart>
      <c:catAx>
        <c:axId val="332013296"/>
        <c:scaling>
          <c:orientation val="maxMin"/>
        </c:scaling>
        <c:delete val="1"/>
        <c:axPos val="r"/>
        <c:numFmt formatCode="General" sourceLinked="1"/>
        <c:majorTickMark val="out"/>
        <c:minorTickMark val="none"/>
        <c:tickLblPos val="nextTo"/>
        <c:crossAx val="332009488"/>
        <c:crosses val="autoZero"/>
        <c:auto val="1"/>
        <c:lblAlgn val="ctr"/>
        <c:lblOffset val="100"/>
        <c:noMultiLvlLbl val="0"/>
      </c:catAx>
      <c:valAx>
        <c:axId val="332009488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33201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157393095891177"/>
          <c:y val="2.4469666284408245E-2"/>
          <c:w val="0.4755046211755487"/>
          <c:h val="0.89416002684164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'BConstraints Fig 2-1 &amp; 2-2 '!$BS$2</c:f>
              <c:strCache>
                <c:ptCount val="1"/>
                <c:pt idx="0">
                  <c:v>Jan-Mar 2025</c:v>
                </c:pt>
              </c:strCache>
            </c:strRef>
          </c:tx>
          <c:invertIfNegative val="0"/>
          <c:cat>
            <c:strRef>
              <c:f>'BConstraints Fig 2-1 &amp; 2-2 '!$E$3:$E$20</c:f>
              <c:strCache>
                <c:ptCount val="18"/>
                <c:pt idx="0">
                  <c:v>High costs of energy and water</c:v>
                </c:pt>
                <c:pt idx="1">
                  <c:v>Export procedures</c:v>
                </c:pt>
                <c:pt idx="2">
                  <c:v>Increased government fees</c:v>
                </c:pt>
                <c:pt idx="3">
                  <c:v>Government procedures</c:v>
                </c:pt>
                <c:pt idx="4">
                  <c:v>Taxation system</c:v>
                </c:pt>
                <c:pt idx="5">
                  <c:v>High inflation</c:v>
                </c:pt>
                <c:pt idx="6">
                  <c:v>Difficulty in finding qualified labor</c:v>
                </c:pt>
                <c:pt idx="7">
                  <c:v>Customs</c:v>
                </c:pt>
                <c:pt idx="8">
                  <c:v>Unstable economic policies</c:v>
                </c:pt>
                <c:pt idx="9">
                  <c:v>Power outage</c:v>
                </c:pt>
                <c:pt idx="10">
                  <c:v>Lack of information on domestic and foreign markets</c:v>
                </c:pt>
                <c:pt idx="11">
                  <c:v>Others</c:v>
                </c:pt>
                <c:pt idx="12">
                  <c:v>Government contracts don't give priority to locally manufactured products</c:v>
                </c:pt>
                <c:pt idx="13">
                  <c:v>Unfair competition from the state</c:v>
                </c:pt>
                <c:pt idx="14">
                  <c:v>Difficulty in obtaining funding</c:v>
                </c:pt>
                <c:pt idx="15">
                  <c:v>Economic policy uncertainty</c:v>
                </c:pt>
                <c:pt idx="16">
                  <c:v>Exchange rate</c:v>
                </c:pt>
                <c:pt idx="17">
                  <c:v>Transportation and logistics</c:v>
                </c:pt>
              </c:strCache>
            </c:strRef>
          </c:cat>
          <c:val>
            <c:numRef>
              <c:f>'BConstraints Fig 2-1 &amp; 2-2 '!$BT$3:$BT$20</c:f>
              <c:numCache>
                <c:formatCode>0</c:formatCode>
                <c:ptCount val="18"/>
                <c:pt idx="0">
                  <c:v>96.793002915451922</c:v>
                </c:pt>
                <c:pt idx="1">
                  <c:v>14.285714285714288</c:v>
                </c:pt>
                <c:pt idx="2">
                  <c:v>60.349854227405253</c:v>
                </c:pt>
                <c:pt idx="3">
                  <c:v>57.142857142857153</c:v>
                </c:pt>
                <c:pt idx="4">
                  <c:v>59.475218658892139</c:v>
                </c:pt>
                <c:pt idx="5">
                  <c:v>100</c:v>
                </c:pt>
                <c:pt idx="6">
                  <c:v>44.023323615160358</c:v>
                </c:pt>
                <c:pt idx="7">
                  <c:v>27.696793002915449</c:v>
                </c:pt>
                <c:pt idx="8">
                  <c:v>37.026239067055393</c:v>
                </c:pt>
                <c:pt idx="9">
                  <c:v>7.2886297376093312</c:v>
                </c:pt>
                <c:pt idx="10">
                  <c:v>18.07580174927114</c:v>
                </c:pt>
                <c:pt idx="11">
                  <c:v>16.326530612244898</c:v>
                </c:pt>
                <c:pt idx="12">
                  <c:v>8.7463556851311957</c:v>
                </c:pt>
                <c:pt idx="13">
                  <c:v>22.448979591836739</c:v>
                </c:pt>
                <c:pt idx="14">
                  <c:v>25.655976676384839</c:v>
                </c:pt>
                <c:pt idx="15">
                  <c:v>58.017492711370267</c:v>
                </c:pt>
                <c:pt idx="16">
                  <c:v>45.772594752186599</c:v>
                </c:pt>
                <c:pt idx="17">
                  <c:v>39.941690962099131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5-4971-A33C-33F37114A9C8}"/>
            </c:ext>
          </c:extLst>
        </c:ser>
        <c:ser>
          <c:idx val="1"/>
          <c:order val="1"/>
          <c:tx>
            <c:strRef>
              <c:f>'BConstraints Fig 2-1 &amp; 2-2 '!$BQ$2</c:f>
              <c:strCache>
                <c:ptCount val="1"/>
                <c:pt idx="0">
                  <c:v>Oct-Dec 2024</c:v>
                </c:pt>
              </c:strCache>
            </c:strRef>
          </c:tx>
          <c:invertIfNegative val="0"/>
          <c:cat>
            <c:strRef>
              <c:f>'BConstraints Fig 2-1 &amp; 2-2 '!$E$3:$E$20</c:f>
              <c:strCache>
                <c:ptCount val="18"/>
                <c:pt idx="0">
                  <c:v>High costs of energy and water</c:v>
                </c:pt>
                <c:pt idx="1">
                  <c:v>Export procedures</c:v>
                </c:pt>
                <c:pt idx="2">
                  <c:v>Increased government fees</c:v>
                </c:pt>
                <c:pt idx="3">
                  <c:v>Government procedures</c:v>
                </c:pt>
                <c:pt idx="4">
                  <c:v>Taxation system</c:v>
                </c:pt>
                <c:pt idx="5">
                  <c:v>High inflation</c:v>
                </c:pt>
                <c:pt idx="6">
                  <c:v>Difficulty in finding qualified labor</c:v>
                </c:pt>
                <c:pt idx="7">
                  <c:v>Customs</c:v>
                </c:pt>
                <c:pt idx="8">
                  <c:v>Unstable economic policies</c:v>
                </c:pt>
                <c:pt idx="9">
                  <c:v>Power outage</c:v>
                </c:pt>
                <c:pt idx="10">
                  <c:v>Lack of information on domestic and foreign markets</c:v>
                </c:pt>
                <c:pt idx="11">
                  <c:v>Others</c:v>
                </c:pt>
                <c:pt idx="12">
                  <c:v>Government contracts don't give priority to locally manufactured products</c:v>
                </c:pt>
                <c:pt idx="13">
                  <c:v>Unfair competition from the state</c:v>
                </c:pt>
                <c:pt idx="14">
                  <c:v>Difficulty in obtaining funding</c:v>
                </c:pt>
                <c:pt idx="15">
                  <c:v>Economic policy uncertainty</c:v>
                </c:pt>
                <c:pt idx="16">
                  <c:v>Exchange rate</c:v>
                </c:pt>
                <c:pt idx="17">
                  <c:v>Transportation and logistics</c:v>
                </c:pt>
              </c:strCache>
            </c:strRef>
          </c:cat>
          <c:val>
            <c:numRef>
              <c:f>'BConstraints Fig 2-1 &amp; 2-2 '!$BR$3:$BR$20</c:f>
              <c:numCache>
                <c:formatCode>0</c:formatCode>
                <c:ptCount val="18"/>
                <c:pt idx="0">
                  <c:v>79.946524064171115</c:v>
                </c:pt>
                <c:pt idx="1">
                  <c:v>16.042780748663102</c:v>
                </c:pt>
                <c:pt idx="2">
                  <c:v>64.705882352941174</c:v>
                </c:pt>
                <c:pt idx="3">
                  <c:v>72.192513368983953</c:v>
                </c:pt>
                <c:pt idx="4">
                  <c:v>60.962566844919785</c:v>
                </c:pt>
                <c:pt idx="5">
                  <c:v>100</c:v>
                </c:pt>
                <c:pt idx="6">
                  <c:v>33.957219251336895</c:v>
                </c:pt>
                <c:pt idx="7">
                  <c:v>28.074866310160424</c:v>
                </c:pt>
                <c:pt idx="8">
                  <c:v>50</c:v>
                </c:pt>
                <c:pt idx="9">
                  <c:v>13.636363636363635</c:v>
                </c:pt>
                <c:pt idx="10">
                  <c:v>31.283422459893046</c:v>
                </c:pt>
                <c:pt idx="11">
                  <c:v>17.112299465240643</c:v>
                </c:pt>
                <c:pt idx="12">
                  <c:v>13.101604278074866</c:v>
                </c:pt>
                <c:pt idx="13">
                  <c:v>27.540106951871657</c:v>
                </c:pt>
                <c:pt idx="14">
                  <c:v>27.27272727272727</c:v>
                </c:pt>
                <c:pt idx="15">
                  <c:v>66.042780748663105</c:v>
                </c:pt>
                <c:pt idx="16">
                  <c:v>69.518716577540104</c:v>
                </c:pt>
                <c:pt idx="17">
                  <c:v>25.133689839572192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45-4971-A33C-33F37114A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332005136"/>
        <c:axId val="331998608"/>
      </c:barChart>
      <c:catAx>
        <c:axId val="3320051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331998608"/>
        <c:crosses val="autoZero"/>
        <c:auto val="1"/>
        <c:lblAlgn val="ctr"/>
        <c:lblOffset val="100"/>
        <c:noMultiLvlLbl val="0"/>
      </c:catAx>
      <c:valAx>
        <c:axId val="331998608"/>
        <c:scaling>
          <c:orientation val="minMax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33200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89537934788868"/>
          <c:y val="0.82680531652535638"/>
          <c:w val="0.17553681800438664"/>
          <c:h val="9.31514216196477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entury Gothic" panose="020B050202020202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01794647463938"/>
          <c:y val="5.2845523380815242E-3"/>
          <c:w val="0.83403818112479555"/>
          <c:h val="0.994715563061581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'BConstraints Fig 2-1 &amp; 2-2 '!$BT$23</c:f>
              <c:strCache>
                <c:ptCount val="1"/>
                <c:pt idx="0">
                  <c:v>الشركات الصغيرة والمتوسطة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'BConstraints Fig 2-1 &amp; 2-2 '!$E$24:$E$41</c:f>
              <c:strCache>
                <c:ptCount val="18"/>
                <c:pt idx="0">
                  <c:v>High costs of energy and water</c:v>
                </c:pt>
                <c:pt idx="1">
                  <c:v>Export procedures</c:v>
                </c:pt>
                <c:pt idx="2">
                  <c:v>Increased government fees</c:v>
                </c:pt>
                <c:pt idx="3">
                  <c:v>Government procedures</c:v>
                </c:pt>
                <c:pt idx="4">
                  <c:v>Taxation system</c:v>
                </c:pt>
                <c:pt idx="5">
                  <c:v>High inflation</c:v>
                </c:pt>
                <c:pt idx="6">
                  <c:v>Difficulty in finding qualified labor</c:v>
                </c:pt>
                <c:pt idx="7">
                  <c:v>Customs</c:v>
                </c:pt>
                <c:pt idx="8">
                  <c:v>Unstable economic policies</c:v>
                </c:pt>
                <c:pt idx="9">
                  <c:v>Power outage</c:v>
                </c:pt>
                <c:pt idx="10">
                  <c:v>Lack of information on domestic and foreign markets</c:v>
                </c:pt>
                <c:pt idx="11">
                  <c:v>Others</c:v>
                </c:pt>
                <c:pt idx="12">
                  <c:v>Government contracts don't give priority to locally manufactured products</c:v>
                </c:pt>
                <c:pt idx="13">
                  <c:v>Unfair competition from the state</c:v>
                </c:pt>
                <c:pt idx="14">
                  <c:v>Difficulty in obtaining funding</c:v>
                </c:pt>
                <c:pt idx="15">
                  <c:v>Economic policy uncertainty</c:v>
                </c:pt>
                <c:pt idx="16">
                  <c:v>Exchange rate</c:v>
                </c:pt>
                <c:pt idx="17">
                  <c:v>Transportation and logistics</c:v>
                </c:pt>
              </c:strCache>
            </c:strRef>
          </c:cat>
          <c:val>
            <c:numRef>
              <c:f>'BConstraints Fig 2-1 &amp; 2-2 '!$BT$24:$BT$41</c:f>
              <c:numCache>
                <c:formatCode>0</c:formatCode>
                <c:ptCount val="18"/>
                <c:pt idx="0">
                  <c:v>100</c:v>
                </c:pt>
                <c:pt idx="1">
                  <c:v>15.384615384615389</c:v>
                </c:pt>
                <c:pt idx="2">
                  <c:v>63.986013986014001</c:v>
                </c:pt>
                <c:pt idx="3">
                  <c:v>61.188811188811201</c:v>
                </c:pt>
                <c:pt idx="4">
                  <c:v>61.188811188811201</c:v>
                </c:pt>
                <c:pt idx="5">
                  <c:v>97.552447552447575</c:v>
                </c:pt>
                <c:pt idx="6">
                  <c:v>47.902097902097914</c:v>
                </c:pt>
                <c:pt idx="7">
                  <c:v>26.923076923076927</c:v>
                </c:pt>
                <c:pt idx="8">
                  <c:v>41.258741258741267</c:v>
                </c:pt>
                <c:pt idx="9">
                  <c:v>7.3426573426573434</c:v>
                </c:pt>
                <c:pt idx="10">
                  <c:v>19.58041958041958</c:v>
                </c:pt>
                <c:pt idx="11">
                  <c:v>16.783216783216783</c:v>
                </c:pt>
                <c:pt idx="12">
                  <c:v>9.79020979020979</c:v>
                </c:pt>
                <c:pt idx="13">
                  <c:v>25.174825174825184</c:v>
                </c:pt>
                <c:pt idx="14">
                  <c:v>26.223776223776223</c:v>
                </c:pt>
                <c:pt idx="15">
                  <c:v>59.790209790209794</c:v>
                </c:pt>
                <c:pt idx="16">
                  <c:v>43.006993006993014</c:v>
                </c:pt>
                <c:pt idx="17">
                  <c:v>38.46153846153846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6-44DD-B637-BD9EED534A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332003504"/>
        <c:axId val="332010032"/>
      </c:barChart>
      <c:catAx>
        <c:axId val="33200350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332010032"/>
        <c:crosses val="autoZero"/>
        <c:auto val="1"/>
        <c:lblAlgn val="ctr"/>
        <c:lblOffset val="100"/>
        <c:noMultiLvlLbl val="0"/>
      </c:catAx>
      <c:valAx>
        <c:axId val="332010032"/>
        <c:scaling>
          <c:orientation val="minMax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33200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66020082456246"/>
          <c:y val="2.4469654545525289E-2"/>
          <c:w val="0.53772686595287988"/>
          <c:h val="0.894160026841644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'Gov Priorities Fig 2-4 &amp; 2.5'!$BZ$2</c:f>
              <c:strCache>
                <c:ptCount val="1"/>
                <c:pt idx="0">
                  <c:v>يوليو - سبتمبر 2025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'Gov Priorities Fig 2-4 &amp; 2.5'!$F$4:$F$21</c:f>
              <c:strCache>
                <c:ptCount val="18"/>
                <c:pt idx="0">
                  <c:v>اتساق  السياسات الاقتصادية</c:v>
                </c:pt>
                <c:pt idx="1">
                  <c:v>تسهيل الإجراءات الحكومية</c:v>
                </c:pt>
                <c:pt idx="2">
                  <c:v>النقل واللوجستيات</c:v>
                </c:pt>
                <c:pt idx="3">
                  <c:v>المنظومة الضريبية</c:v>
                </c:pt>
                <c:pt idx="4">
                  <c:v>تخفيض الرسوم المفروضة على الخدمات الحكومية</c:v>
                </c:pt>
                <c:pt idx="5">
                  <c:v>التضخم</c:v>
                </c:pt>
                <c:pt idx="6">
                  <c:v>سعر الصرف</c:v>
                </c:pt>
                <c:pt idx="7">
                  <c:v>تخفيض أسعار الطاقة والمياه</c:v>
                </c:pt>
                <c:pt idx="8">
                  <c:v>المنظومة الجمركية</c:v>
                </c:pt>
                <c:pt idx="9">
                  <c:v>توفير العمالة المؤهلة</c:v>
                </c:pt>
                <c:pt idx="10">
                  <c:v>تسهيل اجراء التصدير</c:v>
                </c:pt>
                <c:pt idx="11">
                  <c:v> تخفيض مدة انقطاع الكهرباء</c:v>
                </c:pt>
                <c:pt idx="12">
                  <c:v>الحصول على خدمات التمويل</c:v>
                </c:pt>
                <c:pt idx="13">
                  <c:v>أخــــــــــــــــــــــــــرى</c:v>
                </c:pt>
                <c:pt idx="14">
                  <c:v>توافر  المعلومات عن السوق المحلي والخارجي</c:v>
                </c:pt>
                <c:pt idx="15">
                  <c:v> تفضيل المنتج المحلي في التعاقدات الحكومية</c:v>
                </c:pt>
                <c:pt idx="16">
                  <c:v>منع المنافسة غير العادلة من الدولة</c:v>
                </c:pt>
                <c:pt idx="17">
                  <c:v>الافصاح عن توجهات  السياسية الاقتصادية في المستقبل</c:v>
                </c:pt>
              </c:strCache>
            </c:strRef>
          </c:cat>
          <c:val>
            <c:numRef>
              <c:f>'Gov Priorities Fig 2-4 &amp; 2.5'!$BZ$4:$BZ$21</c:f>
              <c:numCache>
                <c:formatCode>0_);[Red]\(0\)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2600-482F-8575-7FEBB4D020A0}"/>
            </c:ext>
          </c:extLst>
        </c:ser>
        <c:ser>
          <c:idx val="0"/>
          <c:order val="1"/>
          <c:tx>
            <c:strRef>
              <c:f>'Gov Priorities Fig 2-4 &amp; 2.5'!$BX$2</c:f>
              <c:strCache>
                <c:ptCount val="1"/>
                <c:pt idx="0">
                  <c:v>يوليو - سبتمبر 2025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'Gov Priorities Fig 2-4 &amp; 2.5'!$F$4:$F$21</c:f>
              <c:strCache>
                <c:ptCount val="18"/>
                <c:pt idx="0">
                  <c:v>اتساق  السياسات الاقتصادية</c:v>
                </c:pt>
                <c:pt idx="1">
                  <c:v>تسهيل الإجراءات الحكومية</c:v>
                </c:pt>
                <c:pt idx="2">
                  <c:v>النقل واللوجستيات</c:v>
                </c:pt>
                <c:pt idx="3">
                  <c:v>المنظومة الضريبية</c:v>
                </c:pt>
                <c:pt idx="4">
                  <c:v>تخفيض الرسوم المفروضة على الخدمات الحكومية</c:v>
                </c:pt>
                <c:pt idx="5">
                  <c:v>التضخم</c:v>
                </c:pt>
                <c:pt idx="6">
                  <c:v>سعر الصرف</c:v>
                </c:pt>
                <c:pt idx="7">
                  <c:v>تخفيض أسعار الطاقة والمياه</c:v>
                </c:pt>
                <c:pt idx="8">
                  <c:v>المنظومة الجمركية</c:v>
                </c:pt>
                <c:pt idx="9">
                  <c:v>توفير العمالة المؤهلة</c:v>
                </c:pt>
                <c:pt idx="10">
                  <c:v>تسهيل اجراء التصدير</c:v>
                </c:pt>
                <c:pt idx="11">
                  <c:v> تخفيض مدة انقطاع الكهرباء</c:v>
                </c:pt>
                <c:pt idx="12">
                  <c:v>الحصول على خدمات التمويل</c:v>
                </c:pt>
                <c:pt idx="13">
                  <c:v>أخــــــــــــــــــــــــــرى</c:v>
                </c:pt>
                <c:pt idx="14">
                  <c:v>توافر  المعلومات عن السوق المحلي والخارجي</c:v>
                </c:pt>
                <c:pt idx="15">
                  <c:v> تفضيل المنتج المحلي في التعاقدات الحكومية</c:v>
                </c:pt>
                <c:pt idx="16">
                  <c:v>منع المنافسة غير العادلة من الدولة</c:v>
                </c:pt>
                <c:pt idx="17">
                  <c:v>الافصاح عن توجهات  السياسية الاقتصادية في المستقبل</c:v>
                </c:pt>
              </c:strCache>
            </c:strRef>
          </c:cat>
          <c:val>
            <c:numRef>
              <c:f>'Gov Priorities Fig 2-4 &amp; 2.5'!$BX$4:$BX$21</c:f>
              <c:numCache>
                <c:formatCode>0</c:formatCode>
                <c:ptCount val="18"/>
                <c:pt idx="0">
                  <c:v>28.846153846153843</c:v>
                </c:pt>
                <c:pt idx="1">
                  <c:v>63.461538461538467</c:v>
                </c:pt>
                <c:pt idx="2">
                  <c:v>9.6153846153846132</c:v>
                </c:pt>
                <c:pt idx="3">
                  <c:v>65.384615384615373</c:v>
                </c:pt>
                <c:pt idx="4">
                  <c:v>53.846153846153847</c:v>
                </c:pt>
                <c:pt idx="5">
                  <c:v>98.076923076923066</c:v>
                </c:pt>
                <c:pt idx="6">
                  <c:v>19.230769230769226</c:v>
                </c:pt>
                <c:pt idx="7">
                  <c:v>100</c:v>
                </c:pt>
                <c:pt idx="8">
                  <c:v>23.076923076923077</c:v>
                </c:pt>
                <c:pt idx="9">
                  <c:v>34.615384615384613</c:v>
                </c:pt>
                <c:pt idx="10">
                  <c:v>21.15384615384615</c:v>
                </c:pt>
                <c:pt idx="11">
                  <c:v>3.8461538461538463</c:v>
                </c:pt>
                <c:pt idx="12">
                  <c:v>13.461538461538462</c:v>
                </c:pt>
                <c:pt idx="13">
                  <c:v>40.38461538461538</c:v>
                </c:pt>
                <c:pt idx="14">
                  <c:v>32.692307692307686</c:v>
                </c:pt>
                <c:pt idx="15">
                  <c:v>0</c:v>
                </c:pt>
                <c:pt idx="16">
                  <c:v>17.307692307692307</c:v>
                </c:pt>
                <c:pt idx="17">
                  <c:v>67.307692307692307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0-482F-8575-7FEBB4D020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332012208"/>
        <c:axId val="331999696"/>
      </c:barChart>
      <c:catAx>
        <c:axId val="332012208"/>
        <c:scaling>
          <c:orientation val="maxMin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331999696"/>
        <c:crosses val="autoZero"/>
        <c:auto val="1"/>
        <c:lblAlgn val="ctr"/>
        <c:lblOffset val="100"/>
        <c:noMultiLvlLbl val="0"/>
      </c:catAx>
      <c:valAx>
        <c:axId val="331999696"/>
        <c:scaling>
          <c:orientation val="maxMin"/>
          <c:max val="100"/>
        </c:scaling>
        <c:delete val="1"/>
        <c:axPos val="t"/>
        <c:numFmt formatCode="0_);[Red]\(0\)" sourceLinked="1"/>
        <c:majorTickMark val="out"/>
        <c:minorTickMark val="none"/>
        <c:tickLblPos val="nextTo"/>
        <c:crossAx val="33201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7052338903339458E-2"/>
          <c:y val="0.6526722756527622"/>
          <c:w val="0.20500251144413642"/>
          <c:h val="0.122016192990476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132395882456625E-3"/>
          <c:y val="0"/>
          <c:w val="0.86576541816120534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'Gov Priorities Fig 2-4 &amp; 2.5'!$BZ$25</c:f>
              <c:strCache>
                <c:ptCount val="1"/>
                <c:pt idx="0">
                  <c:v>الشركات الكبيرة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'Gov Priorities Fig 2-4 &amp; 2.5'!$F$26:$F$43</c:f>
              <c:strCache>
                <c:ptCount val="18"/>
                <c:pt idx="0">
                  <c:v>اتساق  السياسات الاقتصادية</c:v>
                </c:pt>
                <c:pt idx="1">
                  <c:v>تسهيل الإجراءات الحكومية</c:v>
                </c:pt>
                <c:pt idx="2">
                  <c:v>النقل واللوجستيات</c:v>
                </c:pt>
                <c:pt idx="3">
                  <c:v>المنظومة الضريبية</c:v>
                </c:pt>
                <c:pt idx="4">
                  <c:v>تخفيض الرسوم المفروضة على الخدمات الحكومية</c:v>
                </c:pt>
                <c:pt idx="5">
                  <c:v>التضخم</c:v>
                </c:pt>
                <c:pt idx="6">
                  <c:v>سعر الصرف</c:v>
                </c:pt>
                <c:pt idx="7">
                  <c:v>تخفيض أسعار الطاقة والمياه</c:v>
                </c:pt>
                <c:pt idx="8">
                  <c:v>المنظومة الجمركية</c:v>
                </c:pt>
                <c:pt idx="9">
                  <c:v>توفير العمالة المؤهلة</c:v>
                </c:pt>
                <c:pt idx="10">
                  <c:v>تسهيل اجراء التصدير</c:v>
                </c:pt>
                <c:pt idx="11">
                  <c:v> تخفيض مدة انقطاع الكهرباء</c:v>
                </c:pt>
                <c:pt idx="12">
                  <c:v>الحصول على خدمات التمويل</c:v>
                </c:pt>
                <c:pt idx="13">
                  <c:v>أخــــــــــــــــــــــــــرى</c:v>
                </c:pt>
                <c:pt idx="14">
                  <c:v>توافر  المعلومات عن السوق المحلي والخارجي</c:v>
                </c:pt>
                <c:pt idx="15">
                  <c:v> تفضيل المنتج المحلي في التعاقدات الحكومية</c:v>
                </c:pt>
                <c:pt idx="16">
                  <c:v>منع المنافسة غير العادلة من الدولة</c:v>
                </c:pt>
                <c:pt idx="17">
                  <c:v>الافصاح عن توجهات  السياسية الاقتصادية في المستقبل</c:v>
                </c:pt>
              </c:strCache>
            </c:strRef>
          </c:cat>
          <c:val>
            <c:numRef>
              <c:f>'Gov Priorities Fig 2-4 &amp; 2.5'!$BZ$26:$BZ$43</c:f>
              <c:numCache>
                <c:formatCode>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8E1E-436F-972F-36CD32F597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332002960"/>
        <c:axId val="332008400"/>
      </c:barChart>
      <c:catAx>
        <c:axId val="3320029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332008400"/>
        <c:crosses val="autoZero"/>
        <c:auto val="1"/>
        <c:lblAlgn val="ctr"/>
        <c:lblOffset val="100"/>
        <c:noMultiLvlLbl val="0"/>
      </c:catAx>
      <c:valAx>
        <c:axId val="332008400"/>
        <c:scaling>
          <c:orientation val="minMax"/>
          <c:max val="100"/>
        </c:scaling>
        <c:delete val="0"/>
        <c:axPos val="t"/>
        <c:numFmt formatCode="0" sourceLinked="1"/>
        <c:majorTickMark val="out"/>
        <c:minorTickMark val="none"/>
        <c:tickLblPos val="nextTo"/>
        <c:crossAx val="33200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60199205868498"/>
          <c:y val="5.2843576913325207E-3"/>
          <c:w val="0.83403818112479555"/>
          <c:h val="0.994715563061581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'Gov Priorities Fig 2-4 &amp; 2.5'!$CA$25</c:f>
              <c:strCache>
                <c:ptCount val="1"/>
                <c:pt idx="0">
                  <c:v>الشركات الصغيرة والمتوسطة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'Gov Priorities Fig 2-4 &amp; 2.5'!$F$26:$F$43</c:f>
              <c:strCache>
                <c:ptCount val="18"/>
                <c:pt idx="0">
                  <c:v>اتساق  السياسات الاقتصادية</c:v>
                </c:pt>
                <c:pt idx="1">
                  <c:v>تسهيل الإجراءات الحكومية</c:v>
                </c:pt>
                <c:pt idx="2">
                  <c:v>النقل واللوجستيات</c:v>
                </c:pt>
                <c:pt idx="3">
                  <c:v>المنظومة الضريبية</c:v>
                </c:pt>
                <c:pt idx="4">
                  <c:v>تخفيض الرسوم المفروضة على الخدمات الحكومية</c:v>
                </c:pt>
                <c:pt idx="5">
                  <c:v>التضخم</c:v>
                </c:pt>
                <c:pt idx="6">
                  <c:v>سعر الصرف</c:v>
                </c:pt>
                <c:pt idx="7">
                  <c:v>تخفيض أسعار الطاقة والمياه</c:v>
                </c:pt>
                <c:pt idx="8">
                  <c:v>المنظومة الجمركية</c:v>
                </c:pt>
                <c:pt idx="9">
                  <c:v>توفير العمالة المؤهلة</c:v>
                </c:pt>
                <c:pt idx="10">
                  <c:v>تسهيل اجراء التصدير</c:v>
                </c:pt>
                <c:pt idx="11">
                  <c:v> تخفيض مدة انقطاع الكهرباء</c:v>
                </c:pt>
                <c:pt idx="12">
                  <c:v>الحصول على خدمات التمويل</c:v>
                </c:pt>
                <c:pt idx="13">
                  <c:v>أخــــــــــــــــــــــــــرى</c:v>
                </c:pt>
                <c:pt idx="14">
                  <c:v>توافر  المعلومات عن السوق المحلي والخارجي</c:v>
                </c:pt>
                <c:pt idx="15">
                  <c:v> تفضيل المنتج المحلي في التعاقدات الحكومية</c:v>
                </c:pt>
                <c:pt idx="16">
                  <c:v>منع المنافسة غير العادلة من الدولة</c:v>
                </c:pt>
                <c:pt idx="17">
                  <c:v>الافصاح عن توجهات  السياسية الاقتصادية في المستقبل</c:v>
                </c:pt>
              </c:strCache>
            </c:strRef>
          </c:cat>
          <c:val>
            <c:numRef>
              <c:f>'Gov Priorities Fig 2-4 &amp; 2.5'!$CA$26:$CA$43</c:f>
              <c:numCache>
                <c:formatCode>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FC3A-4F95-BB36-06CA52D702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332000784"/>
        <c:axId val="332000240"/>
      </c:barChart>
      <c:catAx>
        <c:axId val="332000784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crossAx val="332000240"/>
        <c:crosses val="autoZero"/>
        <c:auto val="1"/>
        <c:lblAlgn val="ctr"/>
        <c:lblOffset val="100"/>
        <c:noMultiLvlLbl val="0"/>
      </c:catAx>
      <c:valAx>
        <c:axId val="332000240"/>
        <c:scaling>
          <c:orientation val="maxMin"/>
          <c:max val="100"/>
        </c:scaling>
        <c:delete val="0"/>
        <c:axPos val="b"/>
        <c:numFmt formatCode="0" sourceLinked="1"/>
        <c:majorTickMark val="out"/>
        <c:minorTickMark val="none"/>
        <c:tickLblPos val="nextTo"/>
        <c:crossAx val="33200078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65498187499702"/>
          <c:y val="0"/>
          <c:w val="0.86576541816120534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'Gov Priorities Fig 2-4 &amp; 2.5'!$BV$25</c:f>
              <c:strCache>
                <c:ptCount val="1"/>
                <c:pt idx="0">
                  <c:v>الشركات الكبيرة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'Gov Priorities Fig 2-4 &amp; 2.5'!$F$26:$F$43</c:f>
              <c:strCache>
                <c:ptCount val="18"/>
                <c:pt idx="0">
                  <c:v>اتساق  السياسات الاقتصادية</c:v>
                </c:pt>
                <c:pt idx="1">
                  <c:v>تسهيل الإجراءات الحكومية</c:v>
                </c:pt>
                <c:pt idx="2">
                  <c:v>النقل واللوجستيات</c:v>
                </c:pt>
                <c:pt idx="3">
                  <c:v>المنظومة الضريبية</c:v>
                </c:pt>
                <c:pt idx="4">
                  <c:v>تخفيض الرسوم المفروضة على الخدمات الحكومية</c:v>
                </c:pt>
                <c:pt idx="5">
                  <c:v>التضخم</c:v>
                </c:pt>
                <c:pt idx="6">
                  <c:v>سعر الصرف</c:v>
                </c:pt>
                <c:pt idx="7">
                  <c:v>تخفيض أسعار الطاقة والمياه</c:v>
                </c:pt>
                <c:pt idx="8">
                  <c:v>المنظومة الجمركية</c:v>
                </c:pt>
                <c:pt idx="9">
                  <c:v>توفير العمالة المؤهلة</c:v>
                </c:pt>
                <c:pt idx="10">
                  <c:v>تسهيل اجراء التصدير</c:v>
                </c:pt>
                <c:pt idx="11">
                  <c:v> تخفيض مدة انقطاع الكهرباء</c:v>
                </c:pt>
                <c:pt idx="12">
                  <c:v>الحصول على خدمات التمويل</c:v>
                </c:pt>
                <c:pt idx="13">
                  <c:v>أخــــــــــــــــــــــــــرى</c:v>
                </c:pt>
                <c:pt idx="14">
                  <c:v>توافر  المعلومات عن السوق المحلي والخارجي</c:v>
                </c:pt>
                <c:pt idx="15">
                  <c:v> تفضيل المنتج المحلي في التعاقدات الحكومية</c:v>
                </c:pt>
                <c:pt idx="16">
                  <c:v>منع المنافسة غير العادلة من الدولة</c:v>
                </c:pt>
                <c:pt idx="17">
                  <c:v>الافصاح عن توجهات  السياسية الاقتصادية في المستقبل</c:v>
                </c:pt>
              </c:strCache>
            </c:strRef>
          </c:cat>
          <c:val>
            <c:numRef>
              <c:f>'Gov Priorities Fig 2-4 &amp; 2.5'!$BV$26:$BV$43</c:f>
              <c:numCache>
                <c:formatCode>0</c:formatCode>
                <c:ptCount val="18"/>
                <c:pt idx="0">
                  <c:v>26.315789473684209</c:v>
                </c:pt>
                <c:pt idx="1">
                  <c:v>10.526315789473685</c:v>
                </c:pt>
                <c:pt idx="2">
                  <c:v>10.526315789473685</c:v>
                </c:pt>
                <c:pt idx="3">
                  <c:v>15.789473684210526</c:v>
                </c:pt>
                <c:pt idx="4">
                  <c:v>10.526315789473685</c:v>
                </c:pt>
                <c:pt idx="5">
                  <c:v>100</c:v>
                </c:pt>
                <c:pt idx="6">
                  <c:v>15.789473684210526</c:v>
                </c:pt>
                <c:pt idx="7">
                  <c:v>57.894736842105267</c:v>
                </c:pt>
                <c:pt idx="8">
                  <c:v>15.789473684210526</c:v>
                </c:pt>
                <c:pt idx="9">
                  <c:v>5.2631578947368425</c:v>
                </c:pt>
                <c:pt idx="10">
                  <c:v>5.2631578947368425</c:v>
                </c:pt>
                <c:pt idx="11">
                  <c:v>0</c:v>
                </c:pt>
                <c:pt idx="12">
                  <c:v>0</c:v>
                </c:pt>
                <c:pt idx="13">
                  <c:v>10.526315789473685</c:v>
                </c:pt>
                <c:pt idx="14">
                  <c:v>10.526315789473685</c:v>
                </c:pt>
                <c:pt idx="15">
                  <c:v>0</c:v>
                </c:pt>
                <c:pt idx="16">
                  <c:v>10.526315789473685</c:v>
                </c:pt>
                <c:pt idx="17">
                  <c:v>42.10526315789474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A-49E4-B8F0-D0910B74A9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332004048"/>
        <c:axId val="332007856"/>
      </c:barChart>
      <c:catAx>
        <c:axId val="332004048"/>
        <c:scaling>
          <c:orientation val="maxMin"/>
        </c:scaling>
        <c:delete val="1"/>
        <c:axPos val="r"/>
        <c:numFmt formatCode="General" sourceLinked="1"/>
        <c:majorTickMark val="out"/>
        <c:minorTickMark val="none"/>
        <c:tickLblPos val="nextTo"/>
        <c:crossAx val="332007856"/>
        <c:crosses val="autoZero"/>
        <c:auto val="1"/>
        <c:lblAlgn val="ctr"/>
        <c:lblOffset val="100"/>
        <c:noMultiLvlLbl val="0"/>
      </c:catAx>
      <c:valAx>
        <c:axId val="332007856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33200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157393095891177"/>
          <c:y val="2.4469666284408245E-2"/>
          <c:w val="0.4755046211755487"/>
          <c:h val="0.894160026841644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'Gov Priorities Fig 2-4 &amp; 2.5'!$BV$3</c:f>
              <c:strCache>
                <c:ptCount val="1"/>
                <c:pt idx="0">
                  <c:v>Apr-Jun 205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'Gov Priorities Fig 2-4 &amp; 2.5'!$E$4:$E$22</c:f>
              <c:strCache>
                <c:ptCount val="18"/>
                <c:pt idx="0">
                  <c:v>Economic policy consistency</c:v>
                </c:pt>
                <c:pt idx="1">
                  <c:v>Facilitating government procedures</c:v>
                </c:pt>
                <c:pt idx="2">
                  <c:v>Transportation and logistics</c:v>
                </c:pt>
                <c:pt idx="3">
                  <c:v>Taxation system</c:v>
                </c:pt>
                <c:pt idx="4">
                  <c:v>Reducing government service fees</c:v>
                </c:pt>
                <c:pt idx="5">
                  <c:v>Inflation </c:v>
                </c:pt>
                <c:pt idx="6">
                  <c:v>Exchange rate</c:v>
                </c:pt>
                <c:pt idx="7">
                  <c:v>Reducing energy and water costs</c:v>
                </c:pt>
                <c:pt idx="8">
                  <c:v>Customs</c:v>
                </c:pt>
                <c:pt idx="9">
                  <c:v>Providing qualified labor</c:v>
                </c:pt>
                <c:pt idx="10">
                  <c:v>Facilitating export procedures</c:v>
                </c:pt>
                <c:pt idx="11">
                  <c:v>Reducing power outages</c:v>
                </c:pt>
                <c:pt idx="12">
                  <c:v>Providing funding services</c:v>
                </c:pt>
                <c:pt idx="13">
                  <c:v>Other</c:v>
                </c:pt>
                <c:pt idx="14">
                  <c:v>Providing information on domestic and foreign markets</c:v>
                </c:pt>
                <c:pt idx="15">
                  <c:v>Giving priority to locally-manufactured products in government contracts </c:v>
                </c:pt>
                <c:pt idx="16">
                  <c:v>Avoid unfair completion from the State</c:v>
                </c:pt>
                <c:pt idx="17">
                  <c:v> Disclosure of future economic policies</c:v>
                </c:pt>
              </c:strCache>
            </c:strRef>
          </c:cat>
          <c:val>
            <c:numRef>
              <c:f>'Gov Priorities Fig 2-4 &amp; 2.5'!$BV$4:$BV$21</c:f>
              <c:numCache>
                <c:formatCode>0</c:formatCode>
                <c:ptCount val="18"/>
                <c:pt idx="0">
                  <c:v>26.388888888888889</c:v>
                </c:pt>
                <c:pt idx="1">
                  <c:v>33.333333333333329</c:v>
                </c:pt>
                <c:pt idx="2">
                  <c:v>8.3333333333333321</c:v>
                </c:pt>
                <c:pt idx="3">
                  <c:v>37.5</c:v>
                </c:pt>
                <c:pt idx="4">
                  <c:v>31.944444444444446</c:v>
                </c:pt>
                <c:pt idx="5">
                  <c:v>100</c:v>
                </c:pt>
                <c:pt idx="6">
                  <c:v>19.444444444444446</c:v>
                </c:pt>
                <c:pt idx="7">
                  <c:v>86.111111111111114</c:v>
                </c:pt>
                <c:pt idx="8">
                  <c:v>16.666666666666664</c:v>
                </c:pt>
                <c:pt idx="9">
                  <c:v>22.222222222222225</c:v>
                </c:pt>
                <c:pt idx="10">
                  <c:v>11.111111111111112</c:v>
                </c:pt>
                <c:pt idx="11">
                  <c:v>0</c:v>
                </c:pt>
                <c:pt idx="12">
                  <c:v>18.055555555555554</c:v>
                </c:pt>
                <c:pt idx="13">
                  <c:v>23.611111111111111</c:v>
                </c:pt>
                <c:pt idx="14">
                  <c:v>5.5555555555555562</c:v>
                </c:pt>
                <c:pt idx="15">
                  <c:v>0</c:v>
                </c:pt>
                <c:pt idx="16">
                  <c:v>13.888888888888888</c:v>
                </c:pt>
                <c:pt idx="17">
                  <c:v>45.833333333333336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C-42CD-B6D4-8A1E31B5F71E}"/>
            </c:ext>
          </c:extLst>
        </c:ser>
        <c:ser>
          <c:idx val="0"/>
          <c:order val="1"/>
          <c:tx>
            <c:strRef>
              <c:f>'Gov Priorities Fig 2-4 &amp; 2.5'!$BT$3</c:f>
              <c:strCache>
                <c:ptCount val="1"/>
                <c:pt idx="0">
                  <c:v>Jan-Mar 2023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'Gov Priorities Fig 2-4 &amp; 2.5'!$E$4:$E$22</c:f>
              <c:strCache>
                <c:ptCount val="18"/>
                <c:pt idx="0">
                  <c:v>Economic policy consistency</c:v>
                </c:pt>
                <c:pt idx="1">
                  <c:v>Facilitating government procedures</c:v>
                </c:pt>
                <c:pt idx="2">
                  <c:v>Transportation and logistics</c:v>
                </c:pt>
                <c:pt idx="3">
                  <c:v>Taxation system</c:v>
                </c:pt>
                <c:pt idx="4">
                  <c:v>Reducing government service fees</c:v>
                </c:pt>
                <c:pt idx="5">
                  <c:v>Inflation </c:v>
                </c:pt>
                <c:pt idx="6">
                  <c:v>Exchange rate</c:v>
                </c:pt>
                <c:pt idx="7">
                  <c:v>Reducing energy and water costs</c:v>
                </c:pt>
                <c:pt idx="8">
                  <c:v>Customs</c:v>
                </c:pt>
                <c:pt idx="9">
                  <c:v>Providing qualified labor</c:v>
                </c:pt>
                <c:pt idx="10">
                  <c:v>Facilitating export procedures</c:v>
                </c:pt>
                <c:pt idx="11">
                  <c:v>Reducing power outages</c:v>
                </c:pt>
                <c:pt idx="12">
                  <c:v>Providing funding services</c:v>
                </c:pt>
                <c:pt idx="13">
                  <c:v>Other</c:v>
                </c:pt>
                <c:pt idx="14">
                  <c:v>Providing information on domestic and foreign markets</c:v>
                </c:pt>
                <c:pt idx="15">
                  <c:v>Giving priority to locally-manufactured products in government contracts </c:v>
                </c:pt>
                <c:pt idx="16">
                  <c:v>Avoid unfair completion from the State</c:v>
                </c:pt>
                <c:pt idx="17">
                  <c:v> Disclosure of future economic policies</c:v>
                </c:pt>
              </c:strCache>
            </c:strRef>
          </c:cat>
          <c:val>
            <c:numRef>
              <c:f>'Gov Priorities Fig 2-4 &amp; 2.5'!$BT$4:$BT$21</c:f>
              <c:numCache>
                <c:formatCode>0</c:formatCode>
                <c:ptCount val="18"/>
                <c:pt idx="0">
                  <c:v>34.285714285714285</c:v>
                </c:pt>
                <c:pt idx="1">
                  <c:v>72.857142857142847</c:v>
                </c:pt>
                <c:pt idx="2">
                  <c:v>1.4285714285714286</c:v>
                </c:pt>
                <c:pt idx="3">
                  <c:v>42.857142857142854</c:v>
                </c:pt>
                <c:pt idx="4">
                  <c:v>28.571428571428566</c:v>
                </c:pt>
                <c:pt idx="5">
                  <c:v>100</c:v>
                </c:pt>
                <c:pt idx="6">
                  <c:v>38.571428571428569</c:v>
                </c:pt>
                <c:pt idx="7">
                  <c:v>50</c:v>
                </c:pt>
                <c:pt idx="8">
                  <c:v>10</c:v>
                </c:pt>
                <c:pt idx="9">
                  <c:v>18.571428571428573</c:v>
                </c:pt>
                <c:pt idx="10">
                  <c:v>4.2857142857142856</c:v>
                </c:pt>
                <c:pt idx="11">
                  <c:v>2.8571428571428572</c:v>
                </c:pt>
                <c:pt idx="12">
                  <c:v>10</c:v>
                </c:pt>
                <c:pt idx="13">
                  <c:v>27.142857142857142</c:v>
                </c:pt>
                <c:pt idx="14">
                  <c:v>11.428571428571429</c:v>
                </c:pt>
                <c:pt idx="15">
                  <c:v>1.4285714285714286</c:v>
                </c:pt>
                <c:pt idx="16">
                  <c:v>17.142857142857142</c:v>
                </c:pt>
                <c:pt idx="17">
                  <c:v>42.857142857142854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C-42CD-B6D4-8A1E31B5F7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332006224"/>
        <c:axId val="332006768"/>
      </c:barChart>
      <c:catAx>
        <c:axId val="3320062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332006768"/>
        <c:crosses val="autoZero"/>
        <c:auto val="1"/>
        <c:lblAlgn val="ctr"/>
        <c:lblOffset val="100"/>
        <c:noMultiLvlLbl val="0"/>
      </c:catAx>
      <c:valAx>
        <c:axId val="332006768"/>
        <c:scaling>
          <c:orientation val="minMax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33200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89537934788868"/>
          <c:y val="0.79613385585834939"/>
          <c:w val="0.17553681800438664"/>
          <c:h val="0.123822924009995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entury Gothic" panose="020B050202020202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578325145254283E-3"/>
          <c:y val="5.2843576913325207E-3"/>
          <c:w val="0.83403818112479555"/>
          <c:h val="0.994715563061581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'Gov Priorities Fig 2-4 &amp; 2.5'!$BW$25</c:f>
              <c:strCache>
                <c:ptCount val="1"/>
                <c:pt idx="0">
                  <c:v>الشركات الصغيرة والمتوسطة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'Gov Priorities Fig 2-4 &amp; 2.5'!$F$26:$F$43</c:f>
              <c:strCache>
                <c:ptCount val="18"/>
                <c:pt idx="0">
                  <c:v>اتساق  السياسات الاقتصادية</c:v>
                </c:pt>
                <c:pt idx="1">
                  <c:v>تسهيل الإجراءات الحكومية</c:v>
                </c:pt>
                <c:pt idx="2">
                  <c:v>النقل واللوجستيات</c:v>
                </c:pt>
                <c:pt idx="3">
                  <c:v>المنظومة الضريبية</c:v>
                </c:pt>
                <c:pt idx="4">
                  <c:v>تخفيض الرسوم المفروضة على الخدمات الحكومية</c:v>
                </c:pt>
                <c:pt idx="5">
                  <c:v>التضخم</c:v>
                </c:pt>
                <c:pt idx="6">
                  <c:v>سعر الصرف</c:v>
                </c:pt>
                <c:pt idx="7">
                  <c:v>تخفيض أسعار الطاقة والمياه</c:v>
                </c:pt>
                <c:pt idx="8">
                  <c:v>المنظومة الجمركية</c:v>
                </c:pt>
                <c:pt idx="9">
                  <c:v>توفير العمالة المؤهلة</c:v>
                </c:pt>
                <c:pt idx="10">
                  <c:v>تسهيل اجراء التصدير</c:v>
                </c:pt>
                <c:pt idx="11">
                  <c:v> تخفيض مدة انقطاع الكهرباء</c:v>
                </c:pt>
                <c:pt idx="12">
                  <c:v>الحصول على خدمات التمويل</c:v>
                </c:pt>
                <c:pt idx="13">
                  <c:v>أخــــــــــــــــــــــــــرى</c:v>
                </c:pt>
                <c:pt idx="14">
                  <c:v>توافر  المعلومات عن السوق المحلي والخارجي</c:v>
                </c:pt>
                <c:pt idx="15">
                  <c:v> تفضيل المنتج المحلي في التعاقدات الحكومية</c:v>
                </c:pt>
                <c:pt idx="16">
                  <c:v>منع المنافسة غير العادلة من الدولة</c:v>
                </c:pt>
                <c:pt idx="17">
                  <c:v>الافصاح عن توجهات  السياسية الاقتصادية في المستقبل</c:v>
                </c:pt>
              </c:strCache>
            </c:strRef>
          </c:cat>
          <c:val>
            <c:numRef>
              <c:f>'Gov Priorities Fig 2-4 &amp; 2.5'!$BW$26:$BW$43</c:f>
              <c:numCache>
                <c:formatCode>0</c:formatCode>
                <c:ptCount val="18"/>
                <c:pt idx="0">
                  <c:v>26.415094339622634</c:v>
                </c:pt>
                <c:pt idx="1">
                  <c:v>41.509433962264154</c:v>
                </c:pt>
                <c:pt idx="2">
                  <c:v>7.5471698113207548</c:v>
                </c:pt>
                <c:pt idx="3">
                  <c:v>45.283018867924525</c:v>
                </c:pt>
                <c:pt idx="4">
                  <c:v>39.622641509433961</c:v>
                </c:pt>
                <c:pt idx="5">
                  <c:v>100</c:v>
                </c:pt>
                <c:pt idx="6">
                  <c:v>20.754716981132077</c:v>
                </c:pt>
                <c:pt idx="7">
                  <c:v>96.226415094339629</c:v>
                </c:pt>
                <c:pt idx="8">
                  <c:v>16.981132075471699</c:v>
                </c:pt>
                <c:pt idx="9">
                  <c:v>28.30188679245283</c:v>
                </c:pt>
                <c:pt idx="10">
                  <c:v>13.207547169811317</c:v>
                </c:pt>
                <c:pt idx="11">
                  <c:v>0</c:v>
                </c:pt>
                <c:pt idx="12">
                  <c:v>24.528301886792452</c:v>
                </c:pt>
                <c:pt idx="13">
                  <c:v>28.30188679245283</c:v>
                </c:pt>
                <c:pt idx="14">
                  <c:v>3.7735849056603774</c:v>
                </c:pt>
                <c:pt idx="15">
                  <c:v>0</c:v>
                </c:pt>
                <c:pt idx="16">
                  <c:v>15.09433962264151</c:v>
                </c:pt>
                <c:pt idx="17">
                  <c:v>47.169811320754718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C-43A9-B274-3F0E8C680D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332008944"/>
        <c:axId val="335913040"/>
      </c:barChart>
      <c:catAx>
        <c:axId val="33200894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335913040"/>
        <c:crosses val="autoZero"/>
        <c:auto val="1"/>
        <c:lblAlgn val="ctr"/>
        <c:lblOffset val="100"/>
        <c:noMultiLvlLbl val="0"/>
      </c:catAx>
      <c:valAx>
        <c:axId val="335913040"/>
        <c:scaling>
          <c:orientation val="minMax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33200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'PExpections Fig 2-7 n'!$P$3</c:f>
              <c:strCache>
                <c:ptCount val="1"/>
                <c:pt idx="0">
                  <c:v>انخفض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'PExpections Fig 2-7 n'!$S$4:$S$10</c:f>
              <c:strCache>
                <c:ptCount val="7"/>
                <c:pt idx="0">
                  <c:v>سعر الفائدة</c:v>
                </c:pt>
                <c:pt idx="1">
                  <c:v>سعر الدولار</c:v>
                </c:pt>
                <c:pt idx="2">
                  <c:v>معدل التضخم</c:v>
                </c:pt>
                <c:pt idx="3">
                  <c:v>الرسوم الجمركية</c:v>
                </c:pt>
                <c:pt idx="4">
                  <c:v>مدة انقطاع الكهرباء</c:v>
                </c:pt>
                <c:pt idx="5">
                  <c:v>معدل  الضرائب </c:v>
                </c:pt>
                <c:pt idx="6">
                  <c:v>رسوم الطاقة والمياه والصرف</c:v>
                </c:pt>
              </c:strCache>
            </c:strRef>
          </c:cat>
          <c:val>
            <c:numRef>
              <c:f>'PExpections Fig 2-7 n'!$P$4:$P$10</c:f>
              <c:numCache>
                <c:formatCode>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7720-480C-B49B-B073F2561868}"/>
            </c:ext>
          </c:extLst>
        </c:ser>
        <c:ser>
          <c:idx val="1"/>
          <c:order val="1"/>
          <c:tx>
            <c:strRef>
              <c:f>'PExpections Fig 2-7 n'!$Q$3</c:f>
              <c:strCache>
                <c:ptCount val="1"/>
                <c:pt idx="0">
                  <c:v>ظل ثابت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'PExpections Fig 2-7 n'!$S$4:$S$10</c:f>
              <c:strCache>
                <c:ptCount val="7"/>
                <c:pt idx="0">
                  <c:v>سعر الفائدة</c:v>
                </c:pt>
                <c:pt idx="1">
                  <c:v>سعر الدولار</c:v>
                </c:pt>
                <c:pt idx="2">
                  <c:v>معدل التضخم</c:v>
                </c:pt>
                <c:pt idx="3">
                  <c:v>الرسوم الجمركية</c:v>
                </c:pt>
                <c:pt idx="4">
                  <c:v>مدة انقطاع الكهرباء</c:v>
                </c:pt>
                <c:pt idx="5">
                  <c:v>معدل  الضرائب </c:v>
                </c:pt>
                <c:pt idx="6">
                  <c:v>رسوم الطاقة والمياه والصرف</c:v>
                </c:pt>
              </c:strCache>
            </c:strRef>
          </c:cat>
          <c:val>
            <c:numRef>
              <c:f>'PExpections Fig 2-7 n'!$Q$4:$Q$10</c:f>
              <c:numCache>
                <c:formatCode>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7720-480C-B49B-B073F2561868}"/>
            </c:ext>
          </c:extLst>
        </c:ser>
        <c:ser>
          <c:idx val="0"/>
          <c:order val="2"/>
          <c:tx>
            <c:strRef>
              <c:f>'PExpections Fig 2-7 n'!$R$3</c:f>
              <c:strCache>
                <c:ptCount val="1"/>
                <c:pt idx="0">
                  <c:v>ارتفع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'PExpections Fig 2-7 n'!$S$4:$S$10</c:f>
              <c:strCache>
                <c:ptCount val="7"/>
                <c:pt idx="0">
                  <c:v>سعر الفائدة</c:v>
                </c:pt>
                <c:pt idx="1">
                  <c:v>سعر الدولار</c:v>
                </c:pt>
                <c:pt idx="2">
                  <c:v>معدل التضخم</c:v>
                </c:pt>
                <c:pt idx="3">
                  <c:v>الرسوم الجمركية</c:v>
                </c:pt>
                <c:pt idx="4">
                  <c:v>مدة انقطاع الكهرباء</c:v>
                </c:pt>
                <c:pt idx="5">
                  <c:v>معدل  الضرائب </c:v>
                </c:pt>
                <c:pt idx="6">
                  <c:v>رسوم الطاقة والمياه والصرف</c:v>
                </c:pt>
              </c:strCache>
            </c:strRef>
          </c:cat>
          <c:val>
            <c:numRef>
              <c:f>'PExpections Fig 2-7 n'!$R$4:$R$10</c:f>
              <c:numCache>
                <c:formatCode>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7720-480C-B49B-B073F25618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32650624"/>
        <c:axId val="532655424"/>
      </c:barChart>
      <c:catAx>
        <c:axId val="53265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55424"/>
        <c:crosses val="autoZero"/>
        <c:auto val="1"/>
        <c:lblAlgn val="ctr"/>
        <c:lblOffset val="100"/>
        <c:noMultiLvlLbl val="0"/>
      </c:catAx>
      <c:valAx>
        <c:axId val="53265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5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732481228800095"/>
          <c:y val="0"/>
          <c:w val="0.46601407593959099"/>
          <c:h val="0.83480729997837133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'PExpections Fig 2-7 n'!$P$17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'PExpections Fig 2-7 n'!$S$18:$S$24</c:f>
              <c:strCache>
                <c:ptCount val="7"/>
                <c:pt idx="0">
                  <c:v>Interest rate</c:v>
                </c:pt>
                <c:pt idx="1">
                  <c:v>Exchange rate</c:v>
                </c:pt>
                <c:pt idx="2">
                  <c:v>Inflation rate</c:v>
                </c:pt>
                <c:pt idx="3">
                  <c:v>Custom fees</c:v>
                </c:pt>
                <c:pt idx="4">
                  <c:v>Power outage</c:v>
                </c:pt>
                <c:pt idx="5">
                  <c:v>Taxation rate</c:v>
                </c:pt>
                <c:pt idx="6">
                  <c:v>Energy, water and waste costs</c:v>
                </c:pt>
              </c:strCache>
            </c:strRef>
          </c:cat>
          <c:val>
            <c:numRef>
              <c:f>'PExpections Fig 2-7 n'!$P$18:$P$24</c:f>
              <c:numCache>
                <c:formatCode>0</c:formatCode>
                <c:ptCount val="7"/>
                <c:pt idx="0">
                  <c:v>64.166666666666671</c:v>
                </c:pt>
                <c:pt idx="1">
                  <c:v>6.666666666666667</c:v>
                </c:pt>
                <c:pt idx="2">
                  <c:v>5</c:v>
                </c:pt>
                <c:pt idx="3">
                  <c:v>0</c:v>
                </c:pt>
                <c:pt idx="4">
                  <c:v>80.672268907563023</c:v>
                </c:pt>
                <c:pt idx="5">
                  <c:v>0.83333333333333337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D-44D7-87B7-E0A824507B62}"/>
            </c:ext>
          </c:extLst>
        </c:ser>
        <c:ser>
          <c:idx val="1"/>
          <c:order val="1"/>
          <c:tx>
            <c:strRef>
              <c:f>'PExpections Fig 2-7 n'!$Q$17</c:f>
              <c:strCache>
                <c:ptCount val="1"/>
                <c:pt idx="0">
                  <c:v>Stability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'PExpections Fig 2-7 n'!$S$18:$S$24</c:f>
              <c:strCache>
                <c:ptCount val="7"/>
                <c:pt idx="0">
                  <c:v>Interest rate</c:v>
                </c:pt>
                <c:pt idx="1">
                  <c:v>Exchange rate</c:v>
                </c:pt>
                <c:pt idx="2">
                  <c:v>Inflation rate</c:v>
                </c:pt>
                <c:pt idx="3">
                  <c:v>Custom fees</c:v>
                </c:pt>
                <c:pt idx="4">
                  <c:v>Power outage</c:v>
                </c:pt>
                <c:pt idx="5">
                  <c:v>Taxation rate</c:v>
                </c:pt>
                <c:pt idx="6">
                  <c:v>Energy, water and waste costs</c:v>
                </c:pt>
              </c:strCache>
            </c:strRef>
          </c:cat>
          <c:val>
            <c:numRef>
              <c:f>'PExpections Fig 2-7 n'!$Q$18:$Q$24</c:f>
              <c:numCache>
                <c:formatCode>0</c:formatCode>
                <c:ptCount val="7"/>
                <c:pt idx="0">
                  <c:v>35.833333333333336</c:v>
                </c:pt>
                <c:pt idx="1">
                  <c:v>60</c:v>
                </c:pt>
                <c:pt idx="2">
                  <c:v>55.000000000000007</c:v>
                </c:pt>
                <c:pt idx="3">
                  <c:v>65</c:v>
                </c:pt>
                <c:pt idx="4">
                  <c:v>14.285714285714285</c:v>
                </c:pt>
                <c:pt idx="5">
                  <c:v>94.166666666666671</c:v>
                </c:pt>
                <c:pt idx="6">
                  <c:v>46.666666666666664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D-44D7-87B7-E0A824507B62}"/>
            </c:ext>
          </c:extLst>
        </c:ser>
        <c:ser>
          <c:idx val="0"/>
          <c:order val="2"/>
          <c:tx>
            <c:strRef>
              <c:f>'PExpections Fig 2-7 n'!$R$17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'PExpections Fig 2-7 n'!$S$18:$S$24</c:f>
              <c:strCache>
                <c:ptCount val="7"/>
                <c:pt idx="0">
                  <c:v>Interest rate</c:v>
                </c:pt>
                <c:pt idx="1">
                  <c:v>Exchange rate</c:v>
                </c:pt>
                <c:pt idx="2">
                  <c:v>Inflation rate</c:v>
                </c:pt>
                <c:pt idx="3">
                  <c:v>Custom fees</c:v>
                </c:pt>
                <c:pt idx="4">
                  <c:v>Power outage</c:v>
                </c:pt>
                <c:pt idx="5">
                  <c:v>Taxation rate</c:v>
                </c:pt>
                <c:pt idx="6">
                  <c:v>Energy, water and waste costs</c:v>
                </c:pt>
              </c:strCache>
            </c:strRef>
          </c:cat>
          <c:val>
            <c:numRef>
              <c:f>'PExpections Fig 2-7 n'!$R$18:$R$24</c:f>
              <c:numCache>
                <c:formatCode>0</c:formatCode>
                <c:ptCount val="7"/>
                <c:pt idx="0">
                  <c:v>0</c:v>
                </c:pt>
                <c:pt idx="1">
                  <c:v>33.333333333333329</c:v>
                </c:pt>
                <c:pt idx="2">
                  <c:v>40</c:v>
                </c:pt>
                <c:pt idx="3">
                  <c:v>35</c:v>
                </c:pt>
                <c:pt idx="4">
                  <c:v>5.0420168067226889</c:v>
                </c:pt>
                <c:pt idx="5">
                  <c:v>5</c:v>
                </c:pt>
                <c:pt idx="6">
                  <c:v>53.333333333333336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5D-44D7-87B7-E0A824507B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32650624"/>
        <c:axId val="532655424"/>
      </c:barChart>
      <c:catAx>
        <c:axId val="53265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55424"/>
        <c:crosses val="autoZero"/>
        <c:auto val="1"/>
        <c:lblAlgn val="ctr"/>
        <c:lblOffset val="100"/>
        <c:noMultiLvlLbl val="0"/>
      </c:catAx>
      <c:valAx>
        <c:axId val="532655424"/>
        <c:scaling>
          <c:orientation val="minMax"/>
          <c:max val="100"/>
        </c:scaling>
        <c:delete val="1"/>
        <c:axPos val="b"/>
        <c:numFmt formatCode="0" sourceLinked="1"/>
        <c:majorTickMark val="none"/>
        <c:minorTickMark val="none"/>
        <c:tickLblPos val="nextTo"/>
        <c:crossAx val="53265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946112526911397"/>
          <c:y val="0.7985641268525645"/>
          <c:w val="0.17764701802466337"/>
          <c:h val="0.20143587314743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microsoft.com/office/2007/relationships/hdphoto" Target="../media/hdphoto3.wdp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openxmlformats.org/officeDocument/2006/relationships/image" Target="../media/image3.png"/><Relationship Id="rId9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8.png"/><Relationship Id="rId7" Type="http://schemas.microsoft.com/office/2007/relationships/hdphoto" Target="../media/hdphoto6.wdp"/><Relationship Id="rId2" Type="http://schemas.microsoft.com/office/2007/relationships/hdphoto" Target="../media/hdphoto4.wdp"/><Relationship Id="rId1" Type="http://schemas.openxmlformats.org/officeDocument/2006/relationships/image" Target="../media/image7.png"/><Relationship Id="rId6" Type="http://schemas.openxmlformats.org/officeDocument/2006/relationships/image" Target="../media/image10.png"/><Relationship Id="rId5" Type="http://schemas.microsoft.com/office/2007/relationships/hdphoto" Target="../media/hdphoto5.wdp"/><Relationship Id="rId4" Type="http://schemas.openxmlformats.org/officeDocument/2006/relationships/image" Target="../media/image9.png"/><Relationship Id="rId9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microsoft.com/office/2007/relationships/hdphoto" Target="../media/hdphoto8.wdp"/><Relationship Id="rId2" Type="http://schemas.microsoft.com/office/2007/relationships/hdphoto" Target="../media/hdphoto4.wdp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microsoft.com/office/2007/relationships/hdphoto" Target="../media/hdphoto7.wdp"/><Relationship Id="rId10" Type="http://schemas.openxmlformats.org/officeDocument/2006/relationships/image" Target="../media/image13.png"/><Relationship Id="rId4" Type="http://schemas.openxmlformats.org/officeDocument/2006/relationships/image" Target="../media/image11.png"/><Relationship Id="rId9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8.png"/><Relationship Id="rId7" Type="http://schemas.microsoft.com/office/2007/relationships/hdphoto" Target="../media/hdphoto6.wdp"/><Relationship Id="rId2" Type="http://schemas.microsoft.com/office/2007/relationships/hdphoto" Target="../media/hdphoto4.wdp"/><Relationship Id="rId1" Type="http://schemas.openxmlformats.org/officeDocument/2006/relationships/image" Target="../media/image7.png"/><Relationship Id="rId6" Type="http://schemas.openxmlformats.org/officeDocument/2006/relationships/image" Target="../media/image10.png"/><Relationship Id="rId5" Type="http://schemas.microsoft.com/office/2007/relationships/hdphoto" Target="../media/hdphoto5.wdp"/><Relationship Id="rId4" Type="http://schemas.openxmlformats.org/officeDocument/2006/relationships/image" Target="../media/image9.png"/><Relationship Id="rId9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577661</xdr:colOff>
      <xdr:row>83</xdr:row>
      <xdr:rowOff>41179</xdr:rowOff>
    </xdr:from>
    <xdr:to>
      <xdr:col>30</xdr:col>
      <xdr:colOff>268940</xdr:colOff>
      <xdr:row>100</xdr:row>
      <xdr:rowOff>145676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377359</xdr:colOff>
      <xdr:row>86</xdr:row>
      <xdr:rowOff>0</xdr:rowOff>
    </xdr:from>
    <xdr:to>
      <xdr:col>33</xdr:col>
      <xdr:colOff>644059</xdr:colOff>
      <xdr:row>89</xdr:row>
      <xdr:rowOff>38942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 rot="5400000" flipV="1">
          <a:off x="9982900" y="1281534"/>
          <a:ext cx="524717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ar-EG" sz="1100" b="1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درجة الشدة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32</xdr:col>
      <xdr:colOff>291353</xdr:colOff>
      <xdr:row>83</xdr:row>
      <xdr:rowOff>291354</xdr:rowOff>
    </xdr:from>
    <xdr:to>
      <xdr:col>33</xdr:col>
      <xdr:colOff>172010</xdr:colOff>
      <xdr:row>84</xdr:row>
      <xdr:rowOff>164167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435353" y="805704"/>
          <a:ext cx="490257" cy="1680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ar-SA" sz="9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الأعلى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26</xdr:col>
      <xdr:colOff>22411</xdr:colOff>
      <xdr:row>88</xdr:row>
      <xdr:rowOff>134472</xdr:rowOff>
    </xdr:from>
    <xdr:to>
      <xdr:col>27</xdr:col>
      <xdr:colOff>17368</xdr:colOff>
      <xdr:row>89</xdr:row>
      <xdr:rowOff>89648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5508811" y="1591797"/>
          <a:ext cx="604557" cy="117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ar-EG" sz="9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الأقل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24</xdr:col>
      <xdr:colOff>145676</xdr:colOff>
      <xdr:row>111</xdr:row>
      <xdr:rowOff>153238</xdr:rowOff>
    </xdr:from>
    <xdr:to>
      <xdr:col>33</xdr:col>
      <xdr:colOff>89646</xdr:colOff>
      <xdr:row>131</xdr:row>
      <xdr:rowOff>112059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119624</xdr:colOff>
      <xdr:row>116</xdr:row>
      <xdr:rowOff>171732</xdr:rowOff>
    </xdr:from>
    <xdr:to>
      <xdr:col>33</xdr:col>
      <xdr:colOff>386324</xdr:colOff>
      <xdr:row>120</xdr:row>
      <xdr:rowOff>162207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 rot="5400000" flipV="1">
          <a:off x="14018560" y="7664826"/>
          <a:ext cx="7524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ar-EG" sz="1100" b="1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درجة الشدة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31</xdr:col>
      <xdr:colOff>1030941</xdr:colOff>
      <xdr:row>112</xdr:row>
      <xdr:rowOff>168089</xdr:rowOff>
    </xdr:from>
    <xdr:to>
      <xdr:col>32</xdr:col>
      <xdr:colOff>407334</xdr:colOff>
      <xdr:row>114</xdr:row>
      <xdr:rowOff>63314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3458265" y="6656295"/>
          <a:ext cx="485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ar-SA" sz="9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الأعلى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24</xdr:col>
      <xdr:colOff>235323</xdr:colOff>
      <xdr:row>119</xdr:row>
      <xdr:rowOff>67237</xdr:rowOff>
    </xdr:from>
    <xdr:to>
      <xdr:col>25</xdr:col>
      <xdr:colOff>230281</xdr:colOff>
      <xdr:row>120</xdr:row>
      <xdr:rowOff>152962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8314764" y="7888943"/>
          <a:ext cx="555252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ar-EG" sz="9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الأقل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21</xdr:col>
      <xdr:colOff>672353</xdr:colOff>
      <xdr:row>140</xdr:row>
      <xdr:rowOff>63591</xdr:rowOff>
    </xdr:from>
    <xdr:to>
      <xdr:col>31</xdr:col>
      <xdr:colOff>291352</xdr:colOff>
      <xdr:row>159</xdr:row>
      <xdr:rowOff>11206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377359</xdr:colOff>
      <xdr:row>144</xdr:row>
      <xdr:rowOff>48467</xdr:rowOff>
    </xdr:from>
    <xdr:to>
      <xdr:col>31</xdr:col>
      <xdr:colOff>644059</xdr:colOff>
      <xdr:row>148</xdr:row>
      <xdr:rowOff>38942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 rot="5400000" flipV="1">
          <a:off x="8706971" y="10778380"/>
          <a:ext cx="6381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ar-EG" sz="1100" b="1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درجة الشدة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30</xdr:col>
      <xdr:colOff>291353</xdr:colOff>
      <xdr:row>141</xdr:row>
      <xdr:rowOff>156883</xdr:rowOff>
    </xdr:from>
    <xdr:to>
      <xdr:col>31</xdr:col>
      <xdr:colOff>172010</xdr:colOff>
      <xdr:row>142</xdr:row>
      <xdr:rowOff>29696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8216153" y="10196233"/>
          <a:ext cx="490257" cy="347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ar-SA" sz="9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الأعلى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21</xdr:col>
      <xdr:colOff>761998</xdr:colOff>
      <xdr:row>146</xdr:row>
      <xdr:rowOff>89648</xdr:rowOff>
    </xdr:from>
    <xdr:to>
      <xdr:col>22</xdr:col>
      <xdr:colOff>163044</xdr:colOff>
      <xdr:row>147</xdr:row>
      <xdr:rowOff>175373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3047998" y="10938623"/>
          <a:ext cx="163046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ar-EG" sz="9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الأقل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43</xdr:col>
      <xdr:colOff>526676</xdr:colOff>
      <xdr:row>143</xdr:row>
      <xdr:rowOff>1570</xdr:rowOff>
    </xdr:from>
    <xdr:to>
      <xdr:col>48</xdr:col>
      <xdr:colOff>529693</xdr:colOff>
      <xdr:row>162</xdr:row>
      <xdr:rowOff>33617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526677</xdr:colOff>
      <xdr:row>143</xdr:row>
      <xdr:rowOff>1570</xdr:rowOff>
    </xdr:from>
    <xdr:to>
      <xdr:col>40</xdr:col>
      <xdr:colOff>392207</xdr:colOff>
      <xdr:row>162</xdr:row>
      <xdr:rowOff>33617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0</xdr:colOff>
      <xdr:row>83</xdr:row>
      <xdr:rowOff>1</xdr:rowOff>
    </xdr:from>
    <xdr:to>
      <xdr:col>46</xdr:col>
      <xdr:colOff>68037</xdr:colOff>
      <xdr:row>105</xdr:row>
      <xdr:rowOff>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</xdr:row>
      <xdr:rowOff>27214</xdr:rowOff>
    </xdr:from>
    <xdr:to>
      <xdr:col>2</xdr:col>
      <xdr:colOff>49785</xdr:colOff>
      <xdr:row>19</xdr:row>
      <xdr:rowOff>111092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0</xdr:col>
      <xdr:colOff>2099310</xdr:colOff>
      <xdr:row>40</xdr:row>
      <xdr:rowOff>171450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</xdr:col>
      <xdr:colOff>2228850</xdr:colOff>
      <xdr:row>40</xdr:row>
      <xdr:rowOff>183515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2099310</xdr:colOff>
      <xdr:row>40</xdr:row>
      <xdr:rowOff>171450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2</xdr:row>
      <xdr:rowOff>0</xdr:rowOff>
    </xdr:from>
    <xdr:to>
      <xdr:col>3</xdr:col>
      <xdr:colOff>3585942</xdr:colOff>
      <xdr:row>19</xdr:row>
      <xdr:rowOff>128257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</xdr:colOff>
      <xdr:row>23</xdr:row>
      <xdr:rowOff>0</xdr:rowOff>
    </xdr:from>
    <xdr:to>
      <xdr:col>3</xdr:col>
      <xdr:colOff>2228851</xdr:colOff>
      <xdr:row>40</xdr:row>
      <xdr:rowOff>183515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0.88763</cdr:x>
      <cdr:y>0</cdr:y>
    </cdr:from>
    <cdr:to>
      <cdr:x>1</cdr:x>
      <cdr:y>0.00812</cdr:y>
    </cdr:to>
    <cdr:sp macro="" textlink="">
      <cdr:nvSpPr>
        <cdr:cNvPr id="3" name="TextBox 2"/>
        <cdr:cNvSpPr txBox="1"/>
      </cdr:nvSpPr>
      <cdr:spPr>
        <a:xfrm xmlns:a="http://schemas.openxmlformats.org/drawingml/2006/main" flipV="1">
          <a:off x="4868400" y="0"/>
          <a:ext cx="616319" cy="26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ar-EG" sz="1100" b="0">
              <a:cs typeface="+mj-cs"/>
            </a:rPr>
            <a:t>مشر</a:t>
          </a:r>
          <a:endParaRPr lang="en-US" sz="1100" b="0">
            <a:cs typeface="+mj-cs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0.88763</cdr:x>
      <cdr:y>0</cdr:y>
    </cdr:from>
    <cdr:to>
      <cdr:x>1</cdr:x>
      <cdr:y>0.00812</cdr:y>
    </cdr:to>
    <cdr:sp macro="" textlink="">
      <cdr:nvSpPr>
        <cdr:cNvPr id="3" name="TextBox 2"/>
        <cdr:cNvSpPr txBox="1"/>
      </cdr:nvSpPr>
      <cdr:spPr>
        <a:xfrm xmlns:a="http://schemas.openxmlformats.org/drawingml/2006/main" flipV="1">
          <a:off x="4868400" y="0"/>
          <a:ext cx="616319" cy="26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ar-EG" sz="1100" b="0">
              <a:cs typeface="+mj-cs"/>
            </a:rPr>
            <a:t>مشر</a:t>
          </a:r>
          <a:endParaRPr lang="en-US" sz="1100" b="0">
            <a:cs typeface="+mj-cs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0.88763</cdr:x>
      <cdr:y>0</cdr:y>
    </cdr:from>
    <cdr:to>
      <cdr:x>1</cdr:x>
      <cdr:y>0.00812</cdr:y>
    </cdr:to>
    <cdr:sp macro="" textlink="">
      <cdr:nvSpPr>
        <cdr:cNvPr id="3" name="TextBox 2"/>
        <cdr:cNvSpPr txBox="1"/>
      </cdr:nvSpPr>
      <cdr:spPr>
        <a:xfrm xmlns:a="http://schemas.openxmlformats.org/drawingml/2006/main" flipV="1">
          <a:off x="4868400" y="0"/>
          <a:ext cx="616319" cy="26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ar-EG" sz="1100" b="0">
              <a:cs typeface="+mj-cs"/>
            </a:rPr>
            <a:t>مشر</a:t>
          </a:r>
          <a:endParaRPr lang="en-US" sz="1100" b="0">
            <a:cs typeface="+mj-cs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0.88763</cdr:x>
      <cdr:y>0</cdr:y>
    </cdr:from>
    <cdr:to>
      <cdr:x>1</cdr:x>
      <cdr:y>0.00812</cdr:y>
    </cdr:to>
    <cdr:sp macro="" textlink="">
      <cdr:nvSpPr>
        <cdr:cNvPr id="3" name="TextBox 2"/>
        <cdr:cNvSpPr txBox="1"/>
      </cdr:nvSpPr>
      <cdr:spPr>
        <a:xfrm xmlns:a="http://schemas.openxmlformats.org/drawingml/2006/main" flipV="1">
          <a:off x="4868400" y="0"/>
          <a:ext cx="616319" cy="26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ar-EG" sz="1100" b="0">
              <a:cs typeface="+mj-cs"/>
            </a:rPr>
            <a:t>مشر</a:t>
          </a:r>
          <a:endParaRPr lang="en-US" sz="1100" b="0">
            <a:cs typeface="+mj-cs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0.88763</cdr:x>
      <cdr:y>0</cdr:y>
    </cdr:from>
    <cdr:to>
      <cdr:x>1</cdr:x>
      <cdr:y>0.00812</cdr:y>
    </cdr:to>
    <cdr:sp macro="" textlink="">
      <cdr:nvSpPr>
        <cdr:cNvPr id="3" name="TextBox 2"/>
        <cdr:cNvSpPr txBox="1"/>
      </cdr:nvSpPr>
      <cdr:spPr>
        <a:xfrm xmlns:a="http://schemas.openxmlformats.org/drawingml/2006/main" flipV="1">
          <a:off x="4868400" y="0"/>
          <a:ext cx="616319" cy="26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ar-EG" sz="1100" b="0">
              <a:cs typeface="+mj-cs"/>
            </a:rPr>
            <a:t>مشر</a:t>
          </a:r>
          <a:endParaRPr lang="en-US" sz="1100" b="0">
            <a:cs typeface="+mj-cs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0.88763</cdr:x>
      <cdr:y>0</cdr:y>
    </cdr:from>
    <cdr:to>
      <cdr:x>1</cdr:x>
      <cdr:y>0.00812</cdr:y>
    </cdr:to>
    <cdr:sp macro="" textlink="">
      <cdr:nvSpPr>
        <cdr:cNvPr id="3" name="TextBox 2"/>
        <cdr:cNvSpPr txBox="1"/>
      </cdr:nvSpPr>
      <cdr:spPr>
        <a:xfrm xmlns:a="http://schemas.openxmlformats.org/drawingml/2006/main" flipV="1">
          <a:off x="4868400" y="0"/>
          <a:ext cx="616319" cy="26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ar-EG" sz="1100" b="0">
              <a:cs typeface="+mj-cs"/>
            </a:rPr>
            <a:t>مشر</a:t>
          </a:r>
          <a:endParaRPr lang="en-US" sz="1100" b="0">
            <a:cs typeface="+mj-cs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2</xdr:row>
      <xdr:rowOff>0</xdr:rowOff>
    </xdr:from>
    <xdr:to>
      <xdr:col>6</xdr:col>
      <xdr:colOff>448943</xdr:colOff>
      <xdr:row>3</xdr:row>
      <xdr:rowOff>178435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pSpPr/>
      </xdr:nvGrpSpPr>
      <xdr:grpSpPr>
        <a:xfrm>
          <a:off x="10009579932" y="460375"/>
          <a:ext cx="3362006" cy="368935"/>
          <a:chOff x="0" y="0"/>
          <a:chExt cx="3666676" cy="392431"/>
        </a:xfrm>
      </xdr:grpSpPr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142875</xdr:colOff>
      <xdr:row>2</xdr:row>
      <xdr:rowOff>0</xdr:rowOff>
    </xdr:from>
    <xdr:to>
      <xdr:col>12</xdr:col>
      <xdr:colOff>448943</xdr:colOff>
      <xdr:row>3</xdr:row>
      <xdr:rowOff>178435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10005912807" y="460375"/>
          <a:ext cx="3362006" cy="368935"/>
          <a:chOff x="0" y="0"/>
          <a:chExt cx="3666676" cy="392431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142875</xdr:colOff>
      <xdr:row>2</xdr:row>
      <xdr:rowOff>0</xdr:rowOff>
    </xdr:from>
    <xdr:to>
      <xdr:col>18</xdr:col>
      <xdr:colOff>448943</xdr:colOff>
      <xdr:row>3</xdr:row>
      <xdr:rowOff>178435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/>
      </xdr:nvGrpSpPr>
      <xdr:grpSpPr>
        <a:xfrm>
          <a:off x="10002245682" y="460375"/>
          <a:ext cx="3362006" cy="368935"/>
          <a:chOff x="0" y="0"/>
          <a:chExt cx="3666676" cy="392431"/>
        </a:xfrm>
      </xdr:grpSpPr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142875</xdr:colOff>
      <xdr:row>2</xdr:row>
      <xdr:rowOff>0</xdr:rowOff>
    </xdr:from>
    <xdr:to>
      <xdr:col>24</xdr:col>
      <xdr:colOff>448943</xdr:colOff>
      <xdr:row>3</xdr:row>
      <xdr:rowOff>178435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9998578557" y="460375"/>
          <a:ext cx="3362006" cy="368935"/>
          <a:chOff x="0" y="0"/>
          <a:chExt cx="3666676" cy="392431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25</xdr:col>
      <xdr:colOff>142875</xdr:colOff>
      <xdr:row>2</xdr:row>
      <xdr:rowOff>0</xdr:rowOff>
    </xdr:from>
    <xdr:to>
      <xdr:col>30</xdr:col>
      <xdr:colOff>448943</xdr:colOff>
      <xdr:row>3</xdr:row>
      <xdr:rowOff>178435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pSpPr/>
      </xdr:nvGrpSpPr>
      <xdr:grpSpPr>
        <a:xfrm>
          <a:off x="9994911432" y="460375"/>
          <a:ext cx="3362006" cy="368935"/>
          <a:chOff x="0" y="0"/>
          <a:chExt cx="3666676" cy="392431"/>
        </a:xfrm>
      </xdr:grpSpPr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31</xdr:col>
      <xdr:colOff>142875</xdr:colOff>
      <xdr:row>2</xdr:row>
      <xdr:rowOff>0</xdr:rowOff>
    </xdr:from>
    <xdr:to>
      <xdr:col>36</xdr:col>
      <xdr:colOff>448943</xdr:colOff>
      <xdr:row>3</xdr:row>
      <xdr:rowOff>178435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pSpPr/>
      </xdr:nvGrpSpPr>
      <xdr:grpSpPr>
        <a:xfrm>
          <a:off x="9991244307" y="460375"/>
          <a:ext cx="3362006" cy="368935"/>
          <a:chOff x="0" y="0"/>
          <a:chExt cx="3666676" cy="392431"/>
        </a:xfrm>
      </xdr:grpSpPr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50" name="Picture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37</xdr:col>
      <xdr:colOff>142875</xdr:colOff>
      <xdr:row>2</xdr:row>
      <xdr:rowOff>0</xdr:rowOff>
    </xdr:from>
    <xdr:to>
      <xdr:col>42</xdr:col>
      <xdr:colOff>448943</xdr:colOff>
      <xdr:row>3</xdr:row>
      <xdr:rowOff>178435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pSpPr/>
      </xdr:nvGrpSpPr>
      <xdr:grpSpPr>
        <a:xfrm>
          <a:off x="9987577182" y="460375"/>
          <a:ext cx="3362006" cy="368935"/>
          <a:chOff x="0" y="0"/>
          <a:chExt cx="3666676" cy="392431"/>
        </a:xfrm>
      </xdr:grpSpPr>
      <xdr:pic>
        <xdr:nvPicPr>
          <xdr:cNvPr id="52" name="Picture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53" name="Picture 5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54" name="Picture 5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56" name="Picture 5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43</xdr:col>
      <xdr:colOff>142875</xdr:colOff>
      <xdr:row>2</xdr:row>
      <xdr:rowOff>0</xdr:rowOff>
    </xdr:from>
    <xdr:to>
      <xdr:col>48</xdr:col>
      <xdr:colOff>448943</xdr:colOff>
      <xdr:row>3</xdr:row>
      <xdr:rowOff>178435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GrpSpPr/>
      </xdr:nvGrpSpPr>
      <xdr:grpSpPr>
        <a:xfrm>
          <a:off x="9983910057" y="460375"/>
          <a:ext cx="3362006" cy="368935"/>
          <a:chOff x="0" y="0"/>
          <a:chExt cx="3666676" cy="392431"/>
        </a:xfrm>
      </xdr:grpSpPr>
      <xdr:pic>
        <xdr:nvPicPr>
          <xdr:cNvPr id="59" name="Picture 5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61" name="Picture 6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62" name="Picture 6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63" name="Picture 62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64" name="Picture 63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49</xdr:col>
      <xdr:colOff>142875</xdr:colOff>
      <xdr:row>2</xdr:row>
      <xdr:rowOff>0</xdr:rowOff>
    </xdr:from>
    <xdr:to>
      <xdr:col>54</xdr:col>
      <xdr:colOff>448943</xdr:colOff>
      <xdr:row>3</xdr:row>
      <xdr:rowOff>178435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GrpSpPr/>
      </xdr:nvGrpSpPr>
      <xdr:grpSpPr>
        <a:xfrm>
          <a:off x="9980242932" y="460375"/>
          <a:ext cx="3362006" cy="368935"/>
          <a:chOff x="0" y="0"/>
          <a:chExt cx="3666676" cy="392431"/>
        </a:xfrm>
      </xdr:grpSpPr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70" name="Picture 6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71" name="Picture 7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55</xdr:col>
      <xdr:colOff>142875</xdr:colOff>
      <xdr:row>2</xdr:row>
      <xdr:rowOff>0</xdr:rowOff>
    </xdr:from>
    <xdr:to>
      <xdr:col>60</xdr:col>
      <xdr:colOff>448943</xdr:colOff>
      <xdr:row>3</xdr:row>
      <xdr:rowOff>178435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GrpSpPr/>
      </xdr:nvGrpSpPr>
      <xdr:grpSpPr>
        <a:xfrm>
          <a:off x="9976575807" y="460375"/>
          <a:ext cx="3362006" cy="368935"/>
          <a:chOff x="0" y="0"/>
          <a:chExt cx="3666676" cy="392431"/>
        </a:xfrm>
      </xdr:grpSpPr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74" name="Picture 7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75" name="Picture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76" name="Picture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77" name="Picture 7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78" name="Picture 7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61</xdr:col>
      <xdr:colOff>142875</xdr:colOff>
      <xdr:row>2</xdr:row>
      <xdr:rowOff>0</xdr:rowOff>
    </xdr:from>
    <xdr:to>
      <xdr:col>66</xdr:col>
      <xdr:colOff>448943</xdr:colOff>
      <xdr:row>3</xdr:row>
      <xdr:rowOff>178435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GrpSpPr/>
      </xdr:nvGrpSpPr>
      <xdr:grpSpPr>
        <a:xfrm>
          <a:off x="9972908682" y="460375"/>
          <a:ext cx="3362006" cy="368935"/>
          <a:chOff x="0" y="0"/>
          <a:chExt cx="3666676" cy="392431"/>
        </a:xfrm>
      </xdr:grpSpPr>
      <xdr:pic>
        <xdr:nvPicPr>
          <xdr:cNvPr id="80" name="Picture 7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81" name="Picture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82" name="Picture 8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83" name="Picture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84" name="Picture 83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85" name="Picture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67</xdr:col>
      <xdr:colOff>142875</xdr:colOff>
      <xdr:row>2</xdr:row>
      <xdr:rowOff>0</xdr:rowOff>
    </xdr:from>
    <xdr:to>
      <xdr:col>72</xdr:col>
      <xdr:colOff>448943</xdr:colOff>
      <xdr:row>3</xdr:row>
      <xdr:rowOff>178435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GrpSpPr/>
      </xdr:nvGrpSpPr>
      <xdr:grpSpPr>
        <a:xfrm>
          <a:off x="9969241557" y="460375"/>
          <a:ext cx="3362006" cy="368935"/>
          <a:chOff x="0" y="0"/>
          <a:chExt cx="3666676" cy="392431"/>
        </a:xfrm>
      </xdr:grpSpPr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89" name="Picture 88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90" name="Picture 89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91" name="Picture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92" name="Picture 91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115</xdr:col>
      <xdr:colOff>142875</xdr:colOff>
      <xdr:row>2</xdr:row>
      <xdr:rowOff>0</xdr:rowOff>
    </xdr:from>
    <xdr:to>
      <xdr:col>120</xdr:col>
      <xdr:colOff>448943</xdr:colOff>
      <xdr:row>3</xdr:row>
      <xdr:rowOff>178435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pSpPr/>
      </xdr:nvGrpSpPr>
      <xdr:grpSpPr>
        <a:xfrm>
          <a:off x="9939904557" y="460375"/>
          <a:ext cx="3362006" cy="368935"/>
          <a:chOff x="0" y="0"/>
          <a:chExt cx="3666676" cy="392431"/>
        </a:xfrm>
      </xdr:grpSpPr>
      <xdr:pic>
        <xdr:nvPicPr>
          <xdr:cNvPr id="94" name="Picture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95" name="Picture 94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96" name="Picture 95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97" name="Picture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98" name="Picture 97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99" name="Picture 98">
            <a:extLst>
              <a:ext uri="{FF2B5EF4-FFF2-40B4-BE49-F238E27FC236}">
                <a16:creationId xmlns:a16="http://schemas.microsoft.com/office/drawing/2014/main" id="{00000000-0008-0000-0100-00006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73</xdr:col>
      <xdr:colOff>142875</xdr:colOff>
      <xdr:row>2</xdr:row>
      <xdr:rowOff>0</xdr:rowOff>
    </xdr:from>
    <xdr:to>
      <xdr:col>78</xdr:col>
      <xdr:colOff>448943</xdr:colOff>
      <xdr:row>3</xdr:row>
      <xdr:rowOff>178435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GrpSpPr/>
      </xdr:nvGrpSpPr>
      <xdr:grpSpPr>
        <a:xfrm>
          <a:off x="9965574432" y="460375"/>
          <a:ext cx="3362006" cy="368935"/>
          <a:chOff x="0" y="0"/>
          <a:chExt cx="3666676" cy="392431"/>
        </a:xfrm>
      </xdr:grpSpPr>
      <xdr:pic>
        <xdr:nvPicPr>
          <xdr:cNvPr id="108" name="Picture 107">
            <a:extLst>
              <a:ext uri="{FF2B5EF4-FFF2-40B4-BE49-F238E27FC236}">
                <a16:creationId xmlns:a16="http://schemas.microsoft.com/office/drawing/2014/main" id="{00000000-0008-0000-0100-00006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09" name="Picture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10" name="Picture 109"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11" name="Picture 110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12" name="Picture 111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13" name="Picture 112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79</xdr:col>
      <xdr:colOff>142875</xdr:colOff>
      <xdr:row>2</xdr:row>
      <xdr:rowOff>0</xdr:rowOff>
    </xdr:from>
    <xdr:to>
      <xdr:col>84</xdr:col>
      <xdr:colOff>448943</xdr:colOff>
      <xdr:row>3</xdr:row>
      <xdr:rowOff>178435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GrpSpPr/>
      </xdr:nvGrpSpPr>
      <xdr:grpSpPr>
        <a:xfrm>
          <a:off x="9961907307" y="460375"/>
          <a:ext cx="3362006" cy="368935"/>
          <a:chOff x="0" y="0"/>
          <a:chExt cx="3666676" cy="392431"/>
        </a:xfrm>
      </xdr:grpSpPr>
      <xdr:pic>
        <xdr:nvPicPr>
          <xdr:cNvPr id="115" name="Picture 11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16" name="Picture 115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17" name="Picture 116">
            <a:extLst>
              <a:ext uri="{FF2B5EF4-FFF2-40B4-BE49-F238E27FC236}">
                <a16:creationId xmlns:a16="http://schemas.microsoft.com/office/drawing/2014/main" id="{00000000-0008-0000-0100-00007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18" name="Picture 117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19" name="Picture 118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20" name="Picture 119">
            <a:extLst>
              <a:ext uri="{FF2B5EF4-FFF2-40B4-BE49-F238E27FC236}">
                <a16:creationId xmlns:a16="http://schemas.microsoft.com/office/drawing/2014/main" id="{00000000-0008-0000-0100-00007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85</xdr:col>
      <xdr:colOff>142875</xdr:colOff>
      <xdr:row>2</xdr:row>
      <xdr:rowOff>0</xdr:rowOff>
    </xdr:from>
    <xdr:to>
      <xdr:col>90</xdr:col>
      <xdr:colOff>448943</xdr:colOff>
      <xdr:row>3</xdr:row>
      <xdr:rowOff>178435</xdr:rowOff>
    </xdr:to>
    <xdr:grpSp>
      <xdr:nvGrpSpPr>
        <xdr:cNvPr id="121" name="Group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GrpSpPr/>
      </xdr:nvGrpSpPr>
      <xdr:grpSpPr>
        <a:xfrm>
          <a:off x="9958240182" y="460375"/>
          <a:ext cx="3362006" cy="368935"/>
          <a:chOff x="0" y="0"/>
          <a:chExt cx="3666676" cy="392431"/>
        </a:xfrm>
      </xdr:grpSpPr>
      <xdr:pic>
        <xdr:nvPicPr>
          <xdr:cNvPr id="122" name="Picture 121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23" name="Picture 122">
            <a:extLst>
              <a:ext uri="{FF2B5EF4-FFF2-40B4-BE49-F238E27FC236}">
                <a16:creationId xmlns:a16="http://schemas.microsoft.com/office/drawing/2014/main" id="{00000000-0008-0000-0100-00007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24" name="Picture 123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25" name="Picture 124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26" name="Picture 125">
            <a:extLst>
              <a:ext uri="{FF2B5EF4-FFF2-40B4-BE49-F238E27FC236}">
                <a16:creationId xmlns:a16="http://schemas.microsoft.com/office/drawing/2014/main" id="{00000000-0008-0000-0100-00007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27" name="Picture 126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91</xdr:col>
      <xdr:colOff>142875</xdr:colOff>
      <xdr:row>2</xdr:row>
      <xdr:rowOff>0</xdr:rowOff>
    </xdr:from>
    <xdr:to>
      <xdr:col>96</xdr:col>
      <xdr:colOff>448943</xdr:colOff>
      <xdr:row>3</xdr:row>
      <xdr:rowOff>178435</xdr:rowOff>
    </xdr:to>
    <xdr:grpSp>
      <xdr:nvGrpSpPr>
        <xdr:cNvPr id="128" name="Group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GrpSpPr/>
      </xdr:nvGrpSpPr>
      <xdr:grpSpPr>
        <a:xfrm>
          <a:off x="9954573057" y="460375"/>
          <a:ext cx="3362006" cy="368935"/>
          <a:chOff x="0" y="0"/>
          <a:chExt cx="3666676" cy="392431"/>
        </a:xfrm>
      </xdr:grpSpPr>
      <xdr:pic>
        <xdr:nvPicPr>
          <xdr:cNvPr id="129" name="Picture 128">
            <a:extLst>
              <a:ext uri="{FF2B5EF4-FFF2-40B4-BE49-F238E27FC236}">
                <a16:creationId xmlns:a16="http://schemas.microsoft.com/office/drawing/2014/main" id="{00000000-0008-0000-0100-00008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30" name="Picture 129">
            <a:extLst>
              <a:ext uri="{FF2B5EF4-FFF2-40B4-BE49-F238E27FC236}">
                <a16:creationId xmlns:a16="http://schemas.microsoft.com/office/drawing/2014/main" id="{00000000-0008-0000-0100-00008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31" name="Picture 130">
            <a:extLst>
              <a:ext uri="{FF2B5EF4-FFF2-40B4-BE49-F238E27FC236}">
                <a16:creationId xmlns:a16="http://schemas.microsoft.com/office/drawing/2014/main" id="{00000000-0008-0000-0100-00008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32" name="Picture 131">
            <a:extLst>
              <a:ext uri="{FF2B5EF4-FFF2-40B4-BE49-F238E27FC236}">
                <a16:creationId xmlns:a16="http://schemas.microsoft.com/office/drawing/2014/main" id="{00000000-0008-0000-0100-00008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33" name="Picture 132">
            <a:extLst>
              <a:ext uri="{FF2B5EF4-FFF2-40B4-BE49-F238E27FC236}">
                <a16:creationId xmlns:a16="http://schemas.microsoft.com/office/drawing/2014/main" id="{00000000-0008-0000-0100-00008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34" name="Picture 133">
            <a:extLst>
              <a:ext uri="{FF2B5EF4-FFF2-40B4-BE49-F238E27FC236}">
                <a16:creationId xmlns:a16="http://schemas.microsoft.com/office/drawing/2014/main" id="{00000000-0008-0000-0100-00008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97</xdr:col>
      <xdr:colOff>142875</xdr:colOff>
      <xdr:row>2</xdr:row>
      <xdr:rowOff>0</xdr:rowOff>
    </xdr:from>
    <xdr:to>
      <xdr:col>102</xdr:col>
      <xdr:colOff>448943</xdr:colOff>
      <xdr:row>3</xdr:row>
      <xdr:rowOff>178435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GrpSpPr/>
      </xdr:nvGrpSpPr>
      <xdr:grpSpPr>
        <a:xfrm>
          <a:off x="9950905932" y="460375"/>
          <a:ext cx="3362006" cy="368935"/>
          <a:chOff x="0" y="0"/>
          <a:chExt cx="3666676" cy="392431"/>
        </a:xfrm>
      </xdr:grpSpPr>
      <xdr:pic>
        <xdr:nvPicPr>
          <xdr:cNvPr id="136" name="Picture 135">
            <a:extLst>
              <a:ext uri="{FF2B5EF4-FFF2-40B4-BE49-F238E27FC236}">
                <a16:creationId xmlns:a16="http://schemas.microsoft.com/office/drawing/2014/main" id="{00000000-0008-0000-0100-00008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37" name="Picture 136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38" name="Picture 137">
            <a:extLst>
              <a:ext uri="{FF2B5EF4-FFF2-40B4-BE49-F238E27FC236}">
                <a16:creationId xmlns:a16="http://schemas.microsoft.com/office/drawing/2014/main" id="{00000000-0008-0000-0100-00008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39" name="Picture 138">
            <a:extLst>
              <a:ext uri="{FF2B5EF4-FFF2-40B4-BE49-F238E27FC236}">
                <a16:creationId xmlns:a16="http://schemas.microsoft.com/office/drawing/2014/main" id="{00000000-0008-0000-0100-00008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40" name="Picture 139">
            <a:extLst>
              <a:ext uri="{FF2B5EF4-FFF2-40B4-BE49-F238E27FC236}">
                <a16:creationId xmlns:a16="http://schemas.microsoft.com/office/drawing/2014/main" id="{00000000-0008-0000-0100-00008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41" name="Picture 140">
            <a:extLst>
              <a:ext uri="{FF2B5EF4-FFF2-40B4-BE49-F238E27FC236}">
                <a16:creationId xmlns:a16="http://schemas.microsoft.com/office/drawing/2014/main" id="{00000000-0008-0000-0100-00008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103</xdr:col>
      <xdr:colOff>142875</xdr:colOff>
      <xdr:row>2</xdr:row>
      <xdr:rowOff>0</xdr:rowOff>
    </xdr:from>
    <xdr:to>
      <xdr:col>108</xdr:col>
      <xdr:colOff>448943</xdr:colOff>
      <xdr:row>3</xdr:row>
      <xdr:rowOff>178435</xdr:rowOff>
    </xdr:to>
    <xdr:grpSp>
      <xdr:nvGrpSpPr>
        <xdr:cNvPr id="142" name="Group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GrpSpPr/>
      </xdr:nvGrpSpPr>
      <xdr:grpSpPr>
        <a:xfrm>
          <a:off x="9947238807" y="460375"/>
          <a:ext cx="3362006" cy="368935"/>
          <a:chOff x="0" y="0"/>
          <a:chExt cx="3666676" cy="392431"/>
        </a:xfrm>
      </xdr:grpSpPr>
      <xdr:pic>
        <xdr:nvPicPr>
          <xdr:cNvPr id="143" name="Picture 142">
            <a:extLst>
              <a:ext uri="{FF2B5EF4-FFF2-40B4-BE49-F238E27FC236}">
                <a16:creationId xmlns:a16="http://schemas.microsoft.com/office/drawing/2014/main" id="{00000000-0008-0000-0100-00008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44" name="Picture 143">
            <a:extLst>
              <a:ext uri="{FF2B5EF4-FFF2-40B4-BE49-F238E27FC236}">
                <a16:creationId xmlns:a16="http://schemas.microsoft.com/office/drawing/2014/main" id="{00000000-0008-0000-0100-00009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45" name="Picture 144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46" name="Picture 145">
            <a:extLst>
              <a:ext uri="{FF2B5EF4-FFF2-40B4-BE49-F238E27FC236}">
                <a16:creationId xmlns:a16="http://schemas.microsoft.com/office/drawing/2014/main" id="{00000000-0008-0000-0100-00009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47" name="Picture 146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48" name="Picture 147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109</xdr:col>
      <xdr:colOff>142875</xdr:colOff>
      <xdr:row>2</xdr:row>
      <xdr:rowOff>0</xdr:rowOff>
    </xdr:from>
    <xdr:to>
      <xdr:col>114</xdr:col>
      <xdr:colOff>448943</xdr:colOff>
      <xdr:row>3</xdr:row>
      <xdr:rowOff>178435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GrpSpPr/>
      </xdr:nvGrpSpPr>
      <xdr:grpSpPr>
        <a:xfrm>
          <a:off x="9943571682" y="460375"/>
          <a:ext cx="3362006" cy="368935"/>
          <a:chOff x="0" y="0"/>
          <a:chExt cx="3666676" cy="392431"/>
        </a:xfrm>
      </xdr:grpSpPr>
      <xdr:pic>
        <xdr:nvPicPr>
          <xdr:cNvPr id="150" name="Picture 149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51" name="Picture 150">
            <a:extLst>
              <a:ext uri="{FF2B5EF4-FFF2-40B4-BE49-F238E27FC236}">
                <a16:creationId xmlns:a16="http://schemas.microsoft.com/office/drawing/2014/main" id="{00000000-0008-0000-0100-00009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52" name="Picture 151">
            <a:extLst>
              <a:ext uri="{FF2B5EF4-FFF2-40B4-BE49-F238E27FC236}">
                <a16:creationId xmlns:a16="http://schemas.microsoft.com/office/drawing/2014/main" id="{00000000-0008-0000-0100-00009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53" name="Picture 152">
            <a:extLst>
              <a:ext uri="{FF2B5EF4-FFF2-40B4-BE49-F238E27FC236}">
                <a16:creationId xmlns:a16="http://schemas.microsoft.com/office/drawing/2014/main" id="{00000000-0008-0000-0100-00009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54" name="Picture 153">
            <a:extLst>
              <a:ext uri="{FF2B5EF4-FFF2-40B4-BE49-F238E27FC236}">
                <a16:creationId xmlns:a16="http://schemas.microsoft.com/office/drawing/2014/main" id="{00000000-0008-0000-0100-00009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55" name="Picture 154">
            <a:extLst>
              <a:ext uri="{FF2B5EF4-FFF2-40B4-BE49-F238E27FC236}">
                <a16:creationId xmlns:a16="http://schemas.microsoft.com/office/drawing/2014/main" id="{00000000-0008-0000-0100-00009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121</xdr:col>
      <xdr:colOff>142875</xdr:colOff>
      <xdr:row>2</xdr:row>
      <xdr:rowOff>0</xdr:rowOff>
    </xdr:from>
    <xdr:to>
      <xdr:col>126</xdr:col>
      <xdr:colOff>448943</xdr:colOff>
      <xdr:row>3</xdr:row>
      <xdr:rowOff>178435</xdr:rowOff>
    </xdr:to>
    <xdr:grpSp>
      <xdr:nvGrpSpPr>
        <xdr:cNvPr id="156" name="Group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GrpSpPr/>
      </xdr:nvGrpSpPr>
      <xdr:grpSpPr>
        <a:xfrm>
          <a:off x="9936237432" y="460375"/>
          <a:ext cx="3362006" cy="368935"/>
          <a:chOff x="0" y="0"/>
          <a:chExt cx="3666676" cy="392431"/>
        </a:xfrm>
      </xdr:grpSpPr>
      <xdr:pic>
        <xdr:nvPicPr>
          <xdr:cNvPr id="157" name="Picture 156">
            <a:extLst>
              <a:ext uri="{FF2B5EF4-FFF2-40B4-BE49-F238E27FC236}">
                <a16:creationId xmlns:a16="http://schemas.microsoft.com/office/drawing/2014/main" id="{00000000-0008-0000-0100-00009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58" name="Picture 157">
            <a:extLst>
              <a:ext uri="{FF2B5EF4-FFF2-40B4-BE49-F238E27FC236}">
                <a16:creationId xmlns:a16="http://schemas.microsoft.com/office/drawing/2014/main" id="{00000000-0008-0000-0100-00009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59" name="Picture 158">
            <a:extLst>
              <a:ext uri="{FF2B5EF4-FFF2-40B4-BE49-F238E27FC236}">
                <a16:creationId xmlns:a16="http://schemas.microsoft.com/office/drawing/2014/main" id="{00000000-0008-0000-0100-00009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60" name="Picture 159">
            <a:extLst>
              <a:ext uri="{FF2B5EF4-FFF2-40B4-BE49-F238E27FC236}">
                <a16:creationId xmlns:a16="http://schemas.microsoft.com/office/drawing/2014/main" id="{00000000-0008-0000-0100-0000A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61" name="Picture 160">
            <a:extLst>
              <a:ext uri="{FF2B5EF4-FFF2-40B4-BE49-F238E27FC236}">
                <a16:creationId xmlns:a16="http://schemas.microsoft.com/office/drawing/2014/main" id="{00000000-0008-0000-0100-0000A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62" name="Picture 161">
            <a:extLst>
              <a:ext uri="{FF2B5EF4-FFF2-40B4-BE49-F238E27FC236}">
                <a16:creationId xmlns:a16="http://schemas.microsoft.com/office/drawing/2014/main" id="{00000000-0008-0000-0100-0000A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127</xdr:col>
      <xdr:colOff>190500</xdr:colOff>
      <xdr:row>1</xdr:row>
      <xdr:rowOff>158750</xdr:rowOff>
    </xdr:from>
    <xdr:to>
      <xdr:col>132</xdr:col>
      <xdr:colOff>496568</xdr:colOff>
      <xdr:row>3</xdr:row>
      <xdr:rowOff>146685</xdr:rowOff>
    </xdr:to>
    <xdr:grpSp>
      <xdr:nvGrpSpPr>
        <xdr:cNvPr id="163" name="Group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GrpSpPr/>
      </xdr:nvGrpSpPr>
      <xdr:grpSpPr>
        <a:xfrm>
          <a:off x="9932522682" y="428625"/>
          <a:ext cx="3362006" cy="368935"/>
          <a:chOff x="0" y="0"/>
          <a:chExt cx="3666676" cy="392431"/>
        </a:xfrm>
      </xdr:grpSpPr>
      <xdr:pic>
        <xdr:nvPicPr>
          <xdr:cNvPr id="164" name="Picture 163">
            <a:extLst>
              <a:ext uri="{FF2B5EF4-FFF2-40B4-BE49-F238E27FC236}">
                <a16:creationId xmlns:a16="http://schemas.microsoft.com/office/drawing/2014/main" id="{00000000-0008-0000-0100-0000A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65" name="Picture 164">
            <a:extLst>
              <a:ext uri="{FF2B5EF4-FFF2-40B4-BE49-F238E27FC236}">
                <a16:creationId xmlns:a16="http://schemas.microsoft.com/office/drawing/2014/main" id="{00000000-0008-0000-0100-0000A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66" name="Picture 165">
            <a:extLst>
              <a:ext uri="{FF2B5EF4-FFF2-40B4-BE49-F238E27FC236}">
                <a16:creationId xmlns:a16="http://schemas.microsoft.com/office/drawing/2014/main" id="{00000000-0008-0000-0100-0000A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67" name="Picture 166">
            <a:extLst>
              <a:ext uri="{FF2B5EF4-FFF2-40B4-BE49-F238E27FC236}">
                <a16:creationId xmlns:a16="http://schemas.microsoft.com/office/drawing/2014/main" id="{00000000-0008-0000-0100-0000A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68" name="Picture 167">
            <a:extLst>
              <a:ext uri="{FF2B5EF4-FFF2-40B4-BE49-F238E27FC236}">
                <a16:creationId xmlns:a16="http://schemas.microsoft.com/office/drawing/2014/main" id="{00000000-0008-0000-0100-0000A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69" name="Picture 168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133</xdr:col>
      <xdr:colOff>190500</xdr:colOff>
      <xdr:row>1</xdr:row>
      <xdr:rowOff>158750</xdr:rowOff>
    </xdr:from>
    <xdr:to>
      <xdr:col>138</xdr:col>
      <xdr:colOff>496568</xdr:colOff>
      <xdr:row>3</xdr:row>
      <xdr:rowOff>146685</xdr:rowOff>
    </xdr:to>
    <xdr:grpSp>
      <xdr:nvGrpSpPr>
        <xdr:cNvPr id="177" name="Group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GrpSpPr/>
      </xdr:nvGrpSpPr>
      <xdr:grpSpPr>
        <a:xfrm>
          <a:off x="9928855557" y="428625"/>
          <a:ext cx="3362006" cy="368935"/>
          <a:chOff x="0" y="0"/>
          <a:chExt cx="3666676" cy="392431"/>
        </a:xfrm>
      </xdr:grpSpPr>
      <xdr:pic>
        <xdr:nvPicPr>
          <xdr:cNvPr id="178" name="Picture 177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79" name="Picture 178">
            <a:extLst>
              <a:ext uri="{FF2B5EF4-FFF2-40B4-BE49-F238E27FC236}">
                <a16:creationId xmlns:a16="http://schemas.microsoft.com/office/drawing/2014/main" id="{00000000-0008-0000-0100-0000B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80" name="Picture 179">
            <a:extLst>
              <a:ext uri="{FF2B5EF4-FFF2-40B4-BE49-F238E27FC236}">
                <a16:creationId xmlns:a16="http://schemas.microsoft.com/office/drawing/2014/main" id="{00000000-0008-0000-0100-0000B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81" name="Picture 180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82" name="Picture 181">
            <a:extLst>
              <a:ext uri="{FF2B5EF4-FFF2-40B4-BE49-F238E27FC236}">
                <a16:creationId xmlns:a16="http://schemas.microsoft.com/office/drawing/2014/main" id="{00000000-0008-0000-0100-0000B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83" name="Picture 182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139</xdr:col>
      <xdr:colOff>150813</xdr:colOff>
      <xdr:row>1</xdr:row>
      <xdr:rowOff>119063</xdr:rowOff>
    </xdr:from>
    <xdr:to>
      <xdr:col>144</xdr:col>
      <xdr:colOff>456881</xdr:colOff>
      <xdr:row>3</xdr:row>
      <xdr:rowOff>106998</xdr:rowOff>
    </xdr:to>
    <xdr:grpSp>
      <xdr:nvGrpSpPr>
        <xdr:cNvPr id="170" name="Group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GrpSpPr/>
      </xdr:nvGrpSpPr>
      <xdr:grpSpPr>
        <a:xfrm>
          <a:off x="9925228119" y="388938"/>
          <a:ext cx="3362006" cy="368935"/>
          <a:chOff x="0" y="0"/>
          <a:chExt cx="3666676" cy="392431"/>
        </a:xfrm>
      </xdr:grpSpPr>
      <xdr:pic>
        <xdr:nvPicPr>
          <xdr:cNvPr id="171" name="Picture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72" name="Picture 171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73" name="Picture 172">
            <a:extLst>
              <a:ext uri="{FF2B5EF4-FFF2-40B4-BE49-F238E27FC236}">
                <a16:creationId xmlns:a16="http://schemas.microsoft.com/office/drawing/2014/main" id="{00000000-0008-0000-0100-0000A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74" name="Picture 173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75" name="Picture 174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76" name="Picture 175">
            <a:extLst>
              <a:ext uri="{FF2B5EF4-FFF2-40B4-BE49-F238E27FC236}">
                <a16:creationId xmlns:a16="http://schemas.microsoft.com/office/drawing/2014/main" id="{00000000-0008-0000-0100-0000B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145</xdr:col>
      <xdr:colOff>0</xdr:colOff>
      <xdr:row>2</xdr:row>
      <xdr:rowOff>0</xdr:rowOff>
    </xdr:from>
    <xdr:to>
      <xdr:col>150</xdr:col>
      <xdr:colOff>306068</xdr:colOff>
      <xdr:row>3</xdr:row>
      <xdr:rowOff>178435</xdr:rowOff>
    </xdr:to>
    <xdr:grpSp>
      <xdr:nvGrpSpPr>
        <xdr:cNvPr id="184" name="Group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GrpSpPr/>
      </xdr:nvGrpSpPr>
      <xdr:grpSpPr>
        <a:xfrm>
          <a:off x="9921711807" y="460375"/>
          <a:ext cx="3362006" cy="368935"/>
          <a:chOff x="0" y="0"/>
          <a:chExt cx="3666676" cy="392431"/>
        </a:xfrm>
      </xdr:grpSpPr>
      <xdr:pic>
        <xdr:nvPicPr>
          <xdr:cNvPr id="185" name="Picture 184">
            <a:extLst>
              <a:ext uri="{FF2B5EF4-FFF2-40B4-BE49-F238E27FC236}">
                <a16:creationId xmlns:a16="http://schemas.microsoft.com/office/drawing/2014/main" id="{00000000-0008-0000-0100-0000B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86" name="Picture 185">
            <a:extLst>
              <a:ext uri="{FF2B5EF4-FFF2-40B4-BE49-F238E27FC236}">
                <a16:creationId xmlns:a16="http://schemas.microsoft.com/office/drawing/2014/main" id="{00000000-0008-0000-0100-0000B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87" name="Picture 186">
            <a:extLst>
              <a:ext uri="{FF2B5EF4-FFF2-40B4-BE49-F238E27FC236}">
                <a16:creationId xmlns:a16="http://schemas.microsoft.com/office/drawing/2014/main" id="{00000000-0008-0000-0100-0000B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88" name="Picture 187">
            <a:extLst>
              <a:ext uri="{FF2B5EF4-FFF2-40B4-BE49-F238E27FC236}">
                <a16:creationId xmlns:a16="http://schemas.microsoft.com/office/drawing/2014/main" id="{00000000-0008-0000-0100-0000B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89" name="Picture 188">
            <a:extLst>
              <a:ext uri="{FF2B5EF4-FFF2-40B4-BE49-F238E27FC236}">
                <a16:creationId xmlns:a16="http://schemas.microsoft.com/office/drawing/2014/main" id="{00000000-0008-0000-0100-0000B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90" name="Picture 189">
            <a:extLst>
              <a:ext uri="{FF2B5EF4-FFF2-40B4-BE49-F238E27FC236}">
                <a16:creationId xmlns:a16="http://schemas.microsoft.com/office/drawing/2014/main" id="{00000000-0008-0000-0100-0000B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151</xdr:col>
      <xdr:colOff>190500</xdr:colOff>
      <xdr:row>1</xdr:row>
      <xdr:rowOff>158750</xdr:rowOff>
    </xdr:from>
    <xdr:to>
      <xdr:col>156</xdr:col>
      <xdr:colOff>496568</xdr:colOff>
      <xdr:row>3</xdr:row>
      <xdr:rowOff>146685</xdr:rowOff>
    </xdr:to>
    <xdr:grpSp>
      <xdr:nvGrpSpPr>
        <xdr:cNvPr id="191" name="Group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GrpSpPr/>
      </xdr:nvGrpSpPr>
      <xdr:grpSpPr>
        <a:xfrm>
          <a:off x="9917854182" y="428625"/>
          <a:ext cx="3362006" cy="368935"/>
          <a:chOff x="0" y="0"/>
          <a:chExt cx="3666676" cy="392431"/>
        </a:xfrm>
      </xdr:grpSpPr>
      <xdr:pic>
        <xdr:nvPicPr>
          <xdr:cNvPr id="192" name="Picture 191">
            <a:extLst>
              <a:ext uri="{FF2B5EF4-FFF2-40B4-BE49-F238E27FC236}">
                <a16:creationId xmlns:a16="http://schemas.microsoft.com/office/drawing/2014/main" id="{00000000-0008-0000-0100-0000C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93" name="Picture 192">
            <a:extLst>
              <a:ext uri="{FF2B5EF4-FFF2-40B4-BE49-F238E27FC236}">
                <a16:creationId xmlns:a16="http://schemas.microsoft.com/office/drawing/2014/main" id="{00000000-0008-0000-0100-0000C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94" name="Picture 193">
            <a:extLst>
              <a:ext uri="{FF2B5EF4-FFF2-40B4-BE49-F238E27FC236}">
                <a16:creationId xmlns:a16="http://schemas.microsoft.com/office/drawing/2014/main" id="{00000000-0008-0000-0100-0000C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95" name="Picture 194">
            <a:extLst>
              <a:ext uri="{FF2B5EF4-FFF2-40B4-BE49-F238E27FC236}">
                <a16:creationId xmlns:a16="http://schemas.microsoft.com/office/drawing/2014/main" id="{00000000-0008-0000-0100-0000C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96" name="Picture 195">
            <a:extLst>
              <a:ext uri="{FF2B5EF4-FFF2-40B4-BE49-F238E27FC236}">
                <a16:creationId xmlns:a16="http://schemas.microsoft.com/office/drawing/2014/main" id="{00000000-0008-0000-0100-0000C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97" name="Picture 196">
            <a:extLst>
              <a:ext uri="{FF2B5EF4-FFF2-40B4-BE49-F238E27FC236}">
                <a16:creationId xmlns:a16="http://schemas.microsoft.com/office/drawing/2014/main" id="{00000000-0008-0000-0100-0000C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157</xdr:col>
      <xdr:colOff>39687</xdr:colOff>
      <xdr:row>1</xdr:row>
      <xdr:rowOff>119062</xdr:rowOff>
    </xdr:from>
    <xdr:to>
      <xdr:col>162</xdr:col>
      <xdr:colOff>345755</xdr:colOff>
      <xdr:row>3</xdr:row>
      <xdr:rowOff>106997</xdr:rowOff>
    </xdr:to>
    <xdr:grpSp>
      <xdr:nvGrpSpPr>
        <xdr:cNvPr id="198" name="Group 197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GrpSpPr/>
      </xdr:nvGrpSpPr>
      <xdr:grpSpPr>
        <a:xfrm>
          <a:off x="9914337870" y="388937"/>
          <a:ext cx="3362006" cy="368935"/>
          <a:chOff x="0" y="0"/>
          <a:chExt cx="3666676" cy="392431"/>
        </a:xfrm>
      </xdr:grpSpPr>
      <xdr:pic>
        <xdr:nvPicPr>
          <xdr:cNvPr id="199" name="Picture 198">
            <a:extLst>
              <a:ext uri="{FF2B5EF4-FFF2-40B4-BE49-F238E27FC236}">
                <a16:creationId xmlns:a16="http://schemas.microsoft.com/office/drawing/2014/main" id="{00000000-0008-0000-0100-0000C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00" name="Picture 199">
            <a:extLst>
              <a:ext uri="{FF2B5EF4-FFF2-40B4-BE49-F238E27FC236}">
                <a16:creationId xmlns:a16="http://schemas.microsoft.com/office/drawing/2014/main" id="{00000000-0008-0000-0100-0000C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01" name="Picture 200">
            <a:extLst>
              <a:ext uri="{FF2B5EF4-FFF2-40B4-BE49-F238E27FC236}">
                <a16:creationId xmlns:a16="http://schemas.microsoft.com/office/drawing/2014/main" id="{00000000-0008-0000-0100-0000C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02" name="Picture 201">
            <a:extLst>
              <a:ext uri="{FF2B5EF4-FFF2-40B4-BE49-F238E27FC236}">
                <a16:creationId xmlns:a16="http://schemas.microsoft.com/office/drawing/2014/main" id="{00000000-0008-0000-0100-0000C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03" name="Picture 202">
            <a:extLst>
              <a:ext uri="{FF2B5EF4-FFF2-40B4-BE49-F238E27FC236}">
                <a16:creationId xmlns:a16="http://schemas.microsoft.com/office/drawing/2014/main" id="{00000000-0008-0000-0100-0000C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04" name="Picture 203">
            <a:extLst>
              <a:ext uri="{FF2B5EF4-FFF2-40B4-BE49-F238E27FC236}">
                <a16:creationId xmlns:a16="http://schemas.microsoft.com/office/drawing/2014/main" id="{00000000-0008-0000-0100-0000C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163</xdr:col>
      <xdr:colOff>150813</xdr:colOff>
      <xdr:row>1</xdr:row>
      <xdr:rowOff>119063</xdr:rowOff>
    </xdr:from>
    <xdr:to>
      <xdr:col>168</xdr:col>
      <xdr:colOff>456881</xdr:colOff>
      <xdr:row>3</xdr:row>
      <xdr:rowOff>106998</xdr:rowOff>
    </xdr:to>
    <xdr:grpSp>
      <xdr:nvGrpSpPr>
        <xdr:cNvPr id="205" name="Group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GrpSpPr/>
      </xdr:nvGrpSpPr>
      <xdr:grpSpPr>
        <a:xfrm>
          <a:off x="9910559619" y="388938"/>
          <a:ext cx="3362006" cy="368935"/>
          <a:chOff x="0" y="0"/>
          <a:chExt cx="3666676" cy="392431"/>
        </a:xfrm>
      </xdr:grpSpPr>
      <xdr:pic>
        <xdr:nvPicPr>
          <xdr:cNvPr id="206" name="Picture 205">
            <a:extLst>
              <a:ext uri="{FF2B5EF4-FFF2-40B4-BE49-F238E27FC236}">
                <a16:creationId xmlns:a16="http://schemas.microsoft.com/office/drawing/2014/main" id="{00000000-0008-0000-0100-0000C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07" name="Picture 206">
            <a:extLst>
              <a:ext uri="{FF2B5EF4-FFF2-40B4-BE49-F238E27FC236}">
                <a16:creationId xmlns:a16="http://schemas.microsoft.com/office/drawing/2014/main" id="{00000000-0008-0000-0100-0000C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08" name="Picture 207">
            <a:extLst>
              <a:ext uri="{FF2B5EF4-FFF2-40B4-BE49-F238E27FC236}">
                <a16:creationId xmlns:a16="http://schemas.microsoft.com/office/drawing/2014/main" id="{00000000-0008-0000-0100-0000D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09" name="Picture 208">
            <a:extLst>
              <a:ext uri="{FF2B5EF4-FFF2-40B4-BE49-F238E27FC236}">
                <a16:creationId xmlns:a16="http://schemas.microsoft.com/office/drawing/2014/main" id="{00000000-0008-0000-0100-0000D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10" name="Picture 209">
            <a:extLst>
              <a:ext uri="{FF2B5EF4-FFF2-40B4-BE49-F238E27FC236}">
                <a16:creationId xmlns:a16="http://schemas.microsoft.com/office/drawing/2014/main" id="{00000000-0008-0000-0100-0000D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11" name="Picture 210">
            <a:extLst>
              <a:ext uri="{FF2B5EF4-FFF2-40B4-BE49-F238E27FC236}">
                <a16:creationId xmlns:a16="http://schemas.microsoft.com/office/drawing/2014/main" id="{00000000-0008-0000-0100-0000D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169</xdr:col>
      <xdr:colOff>39688</xdr:colOff>
      <xdr:row>1</xdr:row>
      <xdr:rowOff>111125</xdr:rowOff>
    </xdr:from>
    <xdr:to>
      <xdr:col>174</xdr:col>
      <xdr:colOff>345756</xdr:colOff>
      <xdr:row>3</xdr:row>
      <xdr:rowOff>99060</xdr:rowOff>
    </xdr:to>
    <xdr:grpSp>
      <xdr:nvGrpSpPr>
        <xdr:cNvPr id="212" name="Group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GrpSpPr/>
      </xdr:nvGrpSpPr>
      <xdr:grpSpPr>
        <a:xfrm>
          <a:off x="9907003619" y="381000"/>
          <a:ext cx="3362006" cy="368935"/>
          <a:chOff x="0" y="0"/>
          <a:chExt cx="3666676" cy="392431"/>
        </a:xfrm>
      </xdr:grpSpPr>
      <xdr:pic>
        <xdr:nvPicPr>
          <xdr:cNvPr id="213" name="Picture 212">
            <a:extLst>
              <a:ext uri="{FF2B5EF4-FFF2-40B4-BE49-F238E27FC236}">
                <a16:creationId xmlns:a16="http://schemas.microsoft.com/office/drawing/2014/main" id="{00000000-0008-0000-0100-0000D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14" name="Picture 213">
            <a:extLst>
              <a:ext uri="{FF2B5EF4-FFF2-40B4-BE49-F238E27FC236}">
                <a16:creationId xmlns:a16="http://schemas.microsoft.com/office/drawing/2014/main" id="{00000000-0008-0000-0100-0000D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15" name="Picture 214">
            <a:extLst>
              <a:ext uri="{FF2B5EF4-FFF2-40B4-BE49-F238E27FC236}">
                <a16:creationId xmlns:a16="http://schemas.microsoft.com/office/drawing/2014/main" id="{00000000-0008-0000-0100-0000D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16" name="Picture 215">
            <a:extLst>
              <a:ext uri="{FF2B5EF4-FFF2-40B4-BE49-F238E27FC236}">
                <a16:creationId xmlns:a16="http://schemas.microsoft.com/office/drawing/2014/main" id="{00000000-0008-0000-0100-0000D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17" name="Picture 216">
            <a:extLst>
              <a:ext uri="{FF2B5EF4-FFF2-40B4-BE49-F238E27FC236}">
                <a16:creationId xmlns:a16="http://schemas.microsoft.com/office/drawing/2014/main" id="{00000000-0008-0000-0100-0000D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18" name="Picture 217">
            <a:extLst>
              <a:ext uri="{FF2B5EF4-FFF2-40B4-BE49-F238E27FC236}">
                <a16:creationId xmlns:a16="http://schemas.microsoft.com/office/drawing/2014/main" id="{00000000-0008-0000-0100-0000D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175</xdr:col>
      <xdr:colOff>0</xdr:colOff>
      <xdr:row>2</xdr:row>
      <xdr:rowOff>0</xdr:rowOff>
    </xdr:from>
    <xdr:to>
      <xdr:col>180</xdr:col>
      <xdr:colOff>306068</xdr:colOff>
      <xdr:row>3</xdr:row>
      <xdr:rowOff>178435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971F44C-695B-41F8-9814-1F9008AE0923}"/>
            </a:ext>
          </a:extLst>
        </xdr:cNvPr>
        <xdr:cNvGrpSpPr/>
      </xdr:nvGrpSpPr>
      <xdr:grpSpPr>
        <a:xfrm>
          <a:off x="9903376182" y="460375"/>
          <a:ext cx="3362006" cy="368935"/>
          <a:chOff x="0" y="0"/>
          <a:chExt cx="3666676" cy="39243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C3AF485E-0384-D5A0-6BC1-58DA3DA9D6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FCE44A68-F55F-8DC0-A14B-9B720E1F6E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3F6B0F3D-E846-C318-C582-9859816C49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FFA91F75-67B9-1A0E-EF86-5841306630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7C51A80A-8647-2A1B-0592-C741F0503A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77EF02FC-8A04-5675-A287-E689C2A22A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181</xdr:col>
      <xdr:colOff>0</xdr:colOff>
      <xdr:row>2</xdr:row>
      <xdr:rowOff>0</xdr:rowOff>
    </xdr:from>
    <xdr:to>
      <xdr:col>186</xdr:col>
      <xdr:colOff>306068</xdr:colOff>
      <xdr:row>3</xdr:row>
      <xdr:rowOff>178435</xdr:rowOff>
    </xdr:to>
    <xdr:grpSp>
      <xdr:nvGrpSpPr>
        <xdr:cNvPr id="100" name="Group 99">
          <a:extLst>
            <a:ext uri="{FF2B5EF4-FFF2-40B4-BE49-F238E27FC236}">
              <a16:creationId xmlns:a16="http://schemas.microsoft.com/office/drawing/2014/main" id="{769B25EB-A8D2-490A-B5B8-4E0C1ADAD39E}"/>
            </a:ext>
          </a:extLst>
        </xdr:cNvPr>
        <xdr:cNvGrpSpPr/>
      </xdr:nvGrpSpPr>
      <xdr:grpSpPr>
        <a:xfrm>
          <a:off x="9899709057" y="460375"/>
          <a:ext cx="3362006" cy="368935"/>
          <a:chOff x="0" y="0"/>
          <a:chExt cx="3666676" cy="392431"/>
        </a:xfrm>
      </xdr:grpSpPr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EB76CDBC-D623-D1F6-BB28-D7B3A387E3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02" name="Picture 101">
            <a:extLst>
              <a:ext uri="{FF2B5EF4-FFF2-40B4-BE49-F238E27FC236}">
                <a16:creationId xmlns:a16="http://schemas.microsoft.com/office/drawing/2014/main" id="{F76CB954-048F-A314-599E-7E063FB8A1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03" name="Picture 102">
            <a:extLst>
              <a:ext uri="{FF2B5EF4-FFF2-40B4-BE49-F238E27FC236}">
                <a16:creationId xmlns:a16="http://schemas.microsoft.com/office/drawing/2014/main" id="{A325ABB2-66B8-91C9-0BFA-E75A657DA8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04" name="Picture 103">
            <a:extLst>
              <a:ext uri="{FF2B5EF4-FFF2-40B4-BE49-F238E27FC236}">
                <a16:creationId xmlns:a16="http://schemas.microsoft.com/office/drawing/2014/main" id="{24DAD9E0-3006-3695-3895-3F9CDF4712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05" name="Picture 104">
            <a:extLst>
              <a:ext uri="{FF2B5EF4-FFF2-40B4-BE49-F238E27FC236}">
                <a16:creationId xmlns:a16="http://schemas.microsoft.com/office/drawing/2014/main" id="{3E94B4C2-F037-5C37-9A22-4BDAF00842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06" name="Picture 105">
            <a:extLst>
              <a:ext uri="{FF2B5EF4-FFF2-40B4-BE49-F238E27FC236}">
                <a16:creationId xmlns:a16="http://schemas.microsoft.com/office/drawing/2014/main" id="{8999D81C-084B-2030-D36B-7820833F22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187</xdr:col>
      <xdr:colOff>87312</xdr:colOff>
      <xdr:row>2</xdr:row>
      <xdr:rowOff>0</xdr:rowOff>
    </xdr:from>
    <xdr:to>
      <xdr:col>192</xdr:col>
      <xdr:colOff>393380</xdr:colOff>
      <xdr:row>3</xdr:row>
      <xdr:rowOff>178435</xdr:rowOff>
    </xdr:to>
    <xdr:grpSp>
      <xdr:nvGrpSpPr>
        <xdr:cNvPr id="219" name="Group 218">
          <a:extLst>
            <a:ext uri="{FF2B5EF4-FFF2-40B4-BE49-F238E27FC236}">
              <a16:creationId xmlns:a16="http://schemas.microsoft.com/office/drawing/2014/main" id="{C195C920-3578-4BD3-B89F-C38069BA59BB}"/>
            </a:ext>
          </a:extLst>
        </xdr:cNvPr>
        <xdr:cNvGrpSpPr/>
      </xdr:nvGrpSpPr>
      <xdr:grpSpPr>
        <a:xfrm>
          <a:off x="9895954620" y="460375"/>
          <a:ext cx="3362006" cy="368935"/>
          <a:chOff x="0" y="0"/>
          <a:chExt cx="3666676" cy="392431"/>
        </a:xfrm>
      </xdr:grpSpPr>
      <xdr:pic>
        <xdr:nvPicPr>
          <xdr:cNvPr id="220" name="Picture 219">
            <a:extLst>
              <a:ext uri="{FF2B5EF4-FFF2-40B4-BE49-F238E27FC236}">
                <a16:creationId xmlns:a16="http://schemas.microsoft.com/office/drawing/2014/main" id="{F203A8A4-EEC4-65E5-585A-32C1A98A11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21" name="Picture 220">
            <a:extLst>
              <a:ext uri="{FF2B5EF4-FFF2-40B4-BE49-F238E27FC236}">
                <a16:creationId xmlns:a16="http://schemas.microsoft.com/office/drawing/2014/main" id="{818441B1-BC41-0943-A0FE-F723FD50C3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22" name="Picture 221">
            <a:extLst>
              <a:ext uri="{FF2B5EF4-FFF2-40B4-BE49-F238E27FC236}">
                <a16:creationId xmlns:a16="http://schemas.microsoft.com/office/drawing/2014/main" id="{3B45D095-6A0D-F62B-F9FE-97140ACED6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23" name="Picture 222">
            <a:extLst>
              <a:ext uri="{FF2B5EF4-FFF2-40B4-BE49-F238E27FC236}">
                <a16:creationId xmlns:a16="http://schemas.microsoft.com/office/drawing/2014/main" id="{F17F172D-B557-33F8-DC39-06DCA36143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24" name="Picture 223">
            <a:extLst>
              <a:ext uri="{FF2B5EF4-FFF2-40B4-BE49-F238E27FC236}">
                <a16:creationId xmlns:a16="http://schemas.microsoft.com/office/drawing/2014/main" id="{EC149AB4-50E9-F1FC-65D1-F4E776ED66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25" name="Picture 224">
            <a:extLst>
              <a:ext uri="{FF2B5EF4-FFF2-40B4-BE49-F238E27FC236}">
                <a16:creationId xmlns:a16="http://schemas.microsoft.com/office/drawing/2014/main" id="{E366396C-6383-EE5E-D16C-C07F6BA715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193</xdr:col>
      <xdr:colOff>87312</xdr:colOff>
      <xdr:row>2</xdr:row>
      <xdr:rowOff>0</xdr:rowOff>
    </xdr:from>
    <xdr:to>
      <xdr:col>198</xdr:col>
      <xdr:colOff>393380</xdr:colOff>
      <xdr:row>3</xdr:row>
      <xdr:rowOff>178435</xdr:rowOff>
    </xdr:to>
    <xdr:grpSp>
      <xdr:nvGrpSpPr>
        <xdr:cNvPr id="226" name="Group 225">
          <a:extLst>
            <a:ext uri="{FF2B5EF4-FFF2-40B4-BE49-F238E27FC236}">
              <a16:creationId xmlns:a16="http://schemas.microsoft.com/office/drawing/2014/main" id="{932BB0C0-FFA2-4588-9E38-7C6EB4AA73AF}"/>
            </a:ext>
          </a:extLst>
        </xdr:cNvPr>
        <xdr:cNvGrpSpPr/>
      </xdr:nvGrpSpPr>
      <xdr:grpSpPr>
        <a:xfrm>
          <a:off x="9892287495" y="460375"/>
          <a:ext cx="3362006" cy="368935"/>
          <a:chOff x="0" y="0"/>
          <a:chExt cx="3666676" cy="392431"/>
        </a:xfrm>
      </xdr:grpSpPr>
      <xdr:pic>
        <xdr:nvPicPr>
          <xdr:cNvPr id="227" name="Picture 226">
            <a:extLst>
              <a:ext uri="{FF2B5EF4-FFF2-40B4-BE49-F238E27FC236}">
                <a16:creationId xmlns:a16="http://schemas.microsoft.com/office/drawing/2014/main" id="{23783149-A6D6-78CF-BD99-AAC219EF5F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28" name="Picture 227">
            <a:extLst>
              <a:ext uri="{FF2B5EF4-FFF2-40B4-BE49-F238E27FC236}">
                <a16:creationId xmlns:a16="http://schemas.microsoft.com/office/drawing/2014/main" id="{BB596285-7442-F0F6-2332-8D895BF8EA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29" name="Picture 228">
            <a:extLst>
              <a:ext uri="{FF2B5EF4-FFF2-40B4-BE49-F238E27FC236}">
                <a16:creationId xmlns:a16="http://schemas.microsoft.com/office/drawing/2014/main" id="{014C3A9E-CAD4-0D18-F544-8468965656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30" name="Picture 229">
            <a:extLst>
              <a:ext uri="{FF2B5EF4-FFF2-40B4-BE49-F238E27FC236}">
                <a16:creationId xmlns:a16="http://schemas.microsoft.com/office/drawing/2014/main" id="{222025FA-2844-DE9F-53F5-CDE15D3E31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31" name="Picture 230">
            <a:extLst>
              <a:ext uri="{FF2B5EF4-FFF2-40B4-BE49-F238E27FC236}">
                <a16:creationId xmlns:a16="http://schemas.microsoft.com/office/drawing/2014/main" id="{6B97EB33-09B2-72ED-7322-9032E09751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32" name="Picture 231">
            <a:extLst>
              <a:ext uri="{FF2B5EF4-FFF2-40B4-BE49-F238E27FC236}">
                <a16:creationId xmlns:a16="http://schemas.microsoft.com/office/drawing/2014/main" id="{3C120EA3-3ABB-3DFD-70DF-872AE3F0A7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199</xdr:col>
      <xdr:colOff>0</xdr:colOff>
      <xdr:row>2</xdr:row>
      <xdr:rowOff>0</xdr:rowOff>
    </xdr:from>
    <xdr:to>
      <xdr:col>204</xdr:col>
      <xdr:colOff>306068</xdr:colOff>
      <xdr:row>3</xdr:row>
      <xdr:rowOff>178435</xdr:rowOff>
    </xdr:to>
    <xdr:grpSp>
      <xdr:nvGrpSpPr>
        <xdr:cNvPr id="233" name="Group 232">
          <a:extLst>
            <a:ext uri="{FF2B5EF4-FFF2-40B4-BE49-F238E27FC236}">
              <a16:creationId xmlns:a16="http://schemas.microsoft.com/office/drawing/2014/main" id="{00444D2E-7379-458B-B873-D73E979B4D49}"/>
            </a:ext>
          </a:extLst>
        </xdr:cNvPr>
        <xdr:cNvGrpSpPr/>
      </xdr:nvGrpSpPr>
      <xdr:grpSpPr>
        <a:xfrm>
          <a:off x="9888707682" y="460375"/>
          <a:ext cx="3362006" cy="368935"/>
          <a:chOff x="0" y="0"/>
          <a:chExt cx="3666676" cy="392431"/>
        </a:xfrm>
      </xdr:grpSpPr>
      <xdr:pic>
        <xdr:nvPicPr>
          <xdr:cNvPr id="234" name="Picture 233">
            <a:extLst>
              <a:ext uri="{FF2B5EF4-FFF2-40B4-BE49-F238E27FC236}">
                <a16:creationId xmlns:a16="http://schemas.microsoft.com/office/drawing/2014/main" id="{F05712B4-2124-E5D2-5C32-37132CC148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35" name="Picture 234">
            <a:extLst>
              <a:ext uri="{FF2B5EF4-FFF2-40B4-BE49-F238E27FC236}">
                <a16:creationId xmlns:a16="http://schemas.microsoft.com/office/drawing/2014/main" id="{28AFCB07-A07A-8A62-BF74-6C85C4D56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36" name="Picture 235">
            <a:extLst>
              <a:ext uri="{FF2B5EF4-FFF2-40B4-BE49-F238E27FC236}">
                <a16:creationId xmlns:a16="http://schemas.microsoft.com/office/drawing/2014/main" id="{49FE024C-C3E0-345E-9E02-668EA58B27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37" name="Picture 236">
            <a:extLst>
              <a:ext uri="{FF2B5EF4-FFF2-40B4-BE49-F238E27FC236}">
                <a16:creationId xmlns:a16="http://schemas.microsoft.com/office/drawing/2014/main" id="{EEE201D8-3907-3BEE-0A60-64981F6C7E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38" name="Picture 237">
            <a:extLst>
              <a:ext uri="{FF2B5EF4-FFF2-40B4-BE49-F238E27FC236}">
                <a16:creationId xmlns:a16="http://schemas.microsoft.com/office/drawing/2014/main" id="{D35250A9-8D84-5489-3BB8-4A6F143966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39" name="Picture 238">
            <a:extLst>
              <a:ext uri="{FF2B5EF4-FFF2-40B4-BE49-F238E27FC236}">
                <a16:creationId xmlns:a16="http://schemas.microsoft.com/office/drawing/2014/main" id="{8E5BDD8F-34F1-2220-B903-B5947A0B8B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205</xdr:col>
      <xdr:colOff>0</xdr:colOff>
      <xdr:row>2</xdr:row>
      <xdr:rowOff>0</xdr:rowOff>
    </xdr:from>
    <xdr:to>
      <xdr:col>210</xdr:col>
      <xdr:colOff>306068</xdr:colOff>
      <xdr:row>3</xdr:row>
      <xdr:rowOff>178435</xdr:rowOff>
    </xdr:to>
    <xdr:grpSp>
      <xdr:nvGrpSpPr>
        <xdr:cNvPr id="240" name="Group 239">
          <a:extLst>
            <a:ext uri="{FF2B5EF4-FFF2-40B4-BE49-F238E27FC236}">
              <a16:creationId xmlns:a16="http://schemas.microsoft.com/office/drawing/2014/main" id="{ED3B9C5B-FE48-4464-A77C-AF581026EE22}"/>
            </a:ext>
          </a:extLst>
        </xdr:cNvPr>
        <xdr:cNvGrpSpPr/>
      </xdr:nvGrpSpPr>
      <xdr:grpSpPr>
        <a:xfrm>
          <a:off x="9885040557" y="460375"/>
          <a:ext cx="3362006" cy="368935"/>
          <a:chOff x="0" y="0"/>
          <a:chExt cx="3666676" cy="392431"/>
        </a:xfrm>
      </xdr:grpSpPr>
      <xdr:pic>
        <xdr:nvPicPr>
          <xdr:cNvPr id="241" name="Picture 240">
            <a:extLst>
              <a:ext uri="{FF2B5EF4-FFF2-40B4-BE49-F238E27FC236}">
                <a16:creationId xmlns:a16="http://schemas.microsoft.com/office/drawing/2014/main" id="{EB5443AC-60A7-D7D7-7816-137B5AB5FF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42" name="Picture 241">
            <a:extLst>
              <a:ext uri="{FF2B5EF4-FFF2-40B4-BE49-F238E27FC236}">
                <a16:creationId xmlns:a16="http://schemas.microsoft.com/office/drawing/2014/main" id="{03D891B1-9BDF-A033-5B0E-9F81FBF522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43" name="Picture 242">
            <a:extLst>
              <a:ext uri="{FF2B5EF4-FFF2-40B4-BE49-F238E27FC236}">
                <a16:creationId xmlns:a16="http://schemas.microsoft.com/office/drawing/2014/main" id="{46176472-F553-9677-2EE7-FE55FB6E76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44" name="Picture 243">
            <a:extLst>
              <a:ext uri="{FF2B5EF4-FFF2-40B4-BE49-F238E27FC236}">
                <a16:creationId xmlns:a16="http://schemas.microsoft.com/office/drawing/2014/main" id="{762DDDCE-DCEE-D240-8936-5946B45C22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45" name="Picture 244">
            <a:extLst>
              <a:ext uri="{FF2B5EF4-FFF2-40B4-BE49-F238E27FC236}">
                <a16:creationId xmlns:a16="http://schemas.microsoft.com/office/drawing/2014/main" id="{FEF2268D-C30E-60A7-D081-5BB0ECA7DF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46" name="Picture 245">
            <a:extLst>
              <a:ext uri="{FF2B5EF4-FFF2-40B4-BE49-F238E27FC236}">
                <a16:creationId xmlns:a16="http://schemas.microsoft.com/office/drawing/2014/main" id="{FD129070-D8E1-7F35-760F-AEA9F9DD3D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</xdr:row>
      <xdr:rowOff>0</xdr:rowOff>
    </xdr:from>
    <xdr:to>
      <xdr:col>6</xdr:col>
      <xdr:colOff>761999</xdr:colOff>
      <xdr:row>3</xdr:row>
      <xdr:rowOff>178435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 flipH="1">
          <a:off x="3571874" y="455083"/>
          <a:ext cx="5117042" cy="368935"/>
          <a:chOff x="0" y="0"/>
          <a:chExt cx="3666676" cy="39243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142874</xdr:colOff>
      <xdr:row>2</xdr:row>
      <xdr:rowOff>0</xdr:rowOff>
    </xdr:from>
    <xdr:to>
      <xdr:col>12</xdr:col>
      <xdr:colOff>723899</xdr:colOff>
      <xdr:row>3</xdr:row>
      <xdr:rowOff>178435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 flipH="1">
          <a:off x="8969374" y="455083"/>
          <a:ext cx="5078942" cy="368935"/>
          <a:chOff x="0" y="0"/>
          <a:chExt cx="3666676" cy="392431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142874</xdr:colOff>
      <xdr:row>2</xdr:row>
      <xdr:rowOff>0</xdr:rowOff>
    </xdr:from>
    <xdr:to>
      <xdr:col>24</xdr:col>
      <xdr:colOff>723899</xdr:colOff>
      <xdr:row>3</xdr:row>
      <xdr:rowOff>178435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pSpPr/>
      </xdr:nvGrpSpPr>
      <xdr:grpSpPr>
        <a:xfrm flipH="1">
          <a:off x="19764374" y="455083"/>
          <a:ext cx="5078942" cy="368935"/>
          <a:chOff x="0" y="0"/>
          <a:chExt cx="3666676" cy="392431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25</xdr:col>
      <xdr:colOff>142875</xdr:colOff>
      <xdr:row>2</xdr:row>
      <xdr:rowOff>0</xdr:rowOff>
    </xdr:from>
    <xdr:to>
      <xdr:col>30</xdr:col>
      <xdr:colOff>752475</xdr:colOff>
      <xdr:row>3</xdr:row>
      <xdr:rowOff>178435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 flipH="1">
          <a:off x="25161875" y="455083"/>
          <a:ext cx="5107517" cy="368935"/>
          <a:chOff x="0" y="0"/>
          <a:chExt cx="3666676" cy="392431"/>
        </a:xfrm>
      </xdr:grpSpPr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31</xdr:col>
      <xdr:colOff>142875</xdr:colOff>
      <xdr:row>2</xdr:row>
      <xdr:rowOff>0</xdr:rowOff>
    </xdr:from>
    <xdr:to>
      <xdr:col>36</xdr:col>
      <xdr:colOff>714375</xdr:colOff>
      <xdr:row>3</xdr:row>
      <xdr:rowOff>178435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/>
      </xdr:nvGrpSpPr>
      <xdr:grpSpPr>
        <a:xfrm flipH="1">
          <a:off x="30559375" y="455083"/>
          <a:ext cx="5069417" cy="368935"/>
          <a:chOff x="0" y="0"/>
          <a:chExt cx="3666676" cy="392431"/>
        </a:xfrm>
      </xdr:grpSpPr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37</xdr:col>
      <xdr:colOff>142875</xdr:colOff>
      <xdr:row>2</xdr:row>
      <xdr:rowOff>0</xdr:rowOff>
    </xdr:from>
    <xdr:to>
      <xdr:col>42</xdr:col>
      <xdr:colOff>714375</xdr:colOff>
      <xdr:row>3</xdr:row>
      <xdr:rowOff>178435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GrpSpPr/>
      </xdr:nvGrpSpPr>
      <xdr:grpSpPr>
        <a:xfrm flipH="1">
          <a:off x="35956875" y="455083"/>
          <a:ext cx="5069417" cy="368935"/>
          <a:chOff x="0" y="0"/>
          <a:chExt cx="3666676" cy="392431"/>
        </a:xfrm>
      </xdr:grpSpPr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00000000-0008-0000-02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50" name="Picture 49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43</xdr:col>
      <xdr:colOff>142875</xdr:colOff>
      <xdr:row>2</xdr:row>
      <xdr:rowOff>0</xdr:rowOff>
    </xdr:from>
    <xdr:to>
      <xdr:col>48</xdr:col>
      <xdr:colOff>714375</xdr:colOff>
      <xdr:row>3</xdr:row>
      <xdr:rowOff>178435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pSpPr/>
      </xdr:nvGrpSpPr>
      <xdr:grpSpPr>
        <a:xfrm flipH="1">
          <a:off x="41354375" y="455083"/>
          <a:ext cx="5069417" cy="368935"/>
          <a:chOff x="0" y="0"/>
          <a:chExt cx="3666676" cy="392431"/>
        </a:xfrm>
      </xdr:grpSpPr>
      <xdr:pic>
        <xdr:nvPicPr>
          <xdr:cNvPr id="52" name="Picture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53" name="Picture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54" name="Picture 53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56" name="Picture 55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00000000-0008-0000-02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49</xdr:col>
      <xdr:colOff>142875</xdr:colOff>
      <xdr:row>2</xdr:row>
      <xdr:rowOff>0</xdr:rowOff>
    </xdr:from>
    <xdr:to>
      <xdr:col>54</xdr:col>
      <xdr:colOff>733425</xdr:colOff>
      <xdr:row>3</xdr:row>
      <xdr:rowOff>178435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GrpSpPr/>
      </xdr:nvGrpSpPr>
      <xdr:grpSpPr>
        <a:xfrm flipH="1">
          <a:off x="46751875" y="455083"/>
          <a:ext cx="5088467" cy="368935"/>
          <a:chOff x="0" y="0"/>
          <a:chExt cx="3666676" cy="392431"/>
        </a:xfrm>
      </xdr:grpSpPr>
      <xdr:pic>
        <xdr:nvPicPr>
          <xdr:cNvPr id="59" name="Picture 58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61" name="Picture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62" name="Picture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63" name="Picture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64" name="Picture 6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55</xdr:col>
      <xdr:colOff>142875</xdr:colOff>
      <xdr:row>2</xdr:row>
      <xdr:rowOff>0</xdr:rowOff>
    </xdr:from>
    <xdr:to>
      <xdr:col>60</xdr:col>
      <xdr:colOff>733425</xdr:colOff>
      <xdr:row>3</xdr:row>
      <xdr:rowOff>178435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GrpSpPr/>
      </xdr:nvGrpSpPr>
      <xdr:grpSpPr>
        <a:xfrm flipH="1">
          <a:off x="52149375" y="455083"/>
          <a:ext cx="5088467" cy="368935"/>
          <a:chOff x="0" y="0"/>
          <a:chExt cx="3666676" cy="392431"/>
        </a:xfrm>
      </xdr:grpSpPr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00000000-0008-0000-0200-00004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70" name="Picture 69">
            <a:extLst>
              <a:ext uri="{FF2B5EF4-FFF2-40B4-BE49-F238E27FC236}">
                <a16:creationId xmlns:a16="http://schemas.microsoft.com/office/drawing/2014/main" id="{00000000-0008-0000-0200-00004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71" name="Picture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61</xdr:col>
      <xdr:colOff>142874</xdr:colOff>
      <xdr:row>2</xdr:row>
      <xdr:rowOff>0</xdr:rowOff>
    </xdr:from>
    <xdr:to>
      <xdr:col>66</xdr:col>
      <xdr:colOff>742949</xdr:colOff>
      <xdr:row>3</xdr:row>
      <xdr:rowOff>178435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GrpSpPr/>
      </xdr:nvGrpSpPr>
      <xdr:grpSpPr>
        <a:xfrm flipH="1">
          <a:off x="57546874" y="455083"/>
          <a:ext cx="5097992" cy="368935"/>
          <a:chOff x="0" y="0"/>
          <a:chExt cx="3666676" cy="392431"/>
        </a:xfrm>
      </xdr:grpSpPr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00000000-0008-0000-0200-00004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74" name="Picture 73">
            <a:extLst>
              <a:ext uri="{FF2B5EF4-FFF2-40B4-BE49-F238E27FC236}">
                <a16:creationId xmlns:a16="http://schemas.microsoft.com/office/drawing/2014/main" id="{00000000-0008-0000-02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75" name="Picture 74">
            <a:extLst>
              <a:ext uri="{FF2B5EF4-FFF2-40B4-BE49-F238E27FC236}">
                <a16:creationId xmlns:a16="http://schemas.microsoft.com/office/drawing/2014/main" id="{00000000-0008-0000-0200-00004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76" name="Picture 75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77" name="Picture 76">
            <a:extLst>
              <a:ext uri="{FF2B5EF4-FFF2-40B4-BE49-F238E27FC236}">
                <a16:creationId xmlns:a16="http://schemas.microsoft.com/office/drawing/2014/main" id="{00000000-0008-0000-0200-00004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78" name="Picture 77">
            <a:extLst>
              <a:ext uri="{FF2B5EF4-FFF2-40B4-BE49-F238E27FC236}">
                <a16:creationId xmlns:a16="http://schemas.microsoft.com/office/drawing/2014/main" id="{00000000-0008-0000-0200-00004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67</xdr:col>
      <xdr:colOff>142874</xdr:colOff>
      <xdr:row>2</xdr:row>
      <xdr:rowOff>0</xdr:rowOff>
    </xdr:from>
    <xdr:to>
      <xdr:col>72</xdr:col>
      <xdr:colOff>723899</xdr:colOff>
      <xdr:row>3</xdr:row>
      <xdr:rowOff>178435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GrpSpPr/>
      </xdr:nvGrpSpPr>
      <xdr:grpSpPr>
        <a:xfrm flipH="1">
          <a:off x="62944374" y="455083"/>
          <a:ext cx="5078942" cy="368935"/>
          <a:chOff x="0" y="0"/>
          <a:chExt cx="3666676" cy="392431"/>
        </a:xfrm>
      </xdr:grpSpPr>
      <xdr:pic>
        <xdr:nvPicPr>
          <xdr:cNvPr id="80" name="Picture 79">
            <a:extLst>
              <a:ext uri="{FF2B5EF4-FFF2-40B4-BE49-F238E27FC236}">
                <a16:creationId xmlns:a16="http://schemas.microsoft.com/office/drawing/2014/main" id="{00000000-0008-0000-0200-00005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81" name="Picture 80">
            <a:extLst>
              <a:ext uri="{FF2B5EF4-FFF2-40B4-BE49-F238E27FC236}">
                <a16:creationId xmlns:a16="http://schemas.microsoft.com/office/drawing/2014/main" id="{00000000-0008-0000-0200-00005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82" name="Picture 81">
            <a:extLst>
              <a:ext uri="{FF2B5EF4-FFF2-40B4-BE49-F238E27FC236}">
                <a16:creationId xmlns:a16="http://schemas.microsoft.com/office/drawing/2014/main" id="{00000000-0008-0000-02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83" name="Picture 8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84" name="Picture 83">
            <a:extLst>
              <a:ext uri="{FF2B5EF4-FFF2-40B4-BE49-F238E27FC236}">
                <a16:creationId xmlns:a16="http://schemas.microsoft.com/office/drawing/2014/main" id="{00000000-0008-0000-0200-00005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85" name="Picture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115</xdr:col>
      <xdr:colOff>171448</xdr:colOff>
      <xdr:row>2</xdr:row>
      <xdr:rowOff>0</xdr:rowOff>
    </xdr:from>
    <xdr:to>
      <xdr:col>120</xdr:col>
      <xdr:colOff>742949</xdr:colOff>
      <xdr:row>3</xdr:row>
      <xdr:rowOff>178435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GrpSpPr/>
      </xdr:nvGrpSpPr>
      <xdr:grpSpPr>
        <a:xfrm flipH="1">
          <a:off x="106152948" y="455083"/>
          <a:ext cx="5069418" cy="368935"/>
          <a:chOff x="0" y="0"/>
          <a:chExt cx="3666676" cy="392431"/>
        </a:xfrm>
      </xdr:grpSpPr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00000000-0008-0000-0200-00005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00000000-0008-0000-0200-00005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89" name="Picture 88">
            <a:extLst>
              <a:ext uri="{FF2B5EF4-FFF2-40B4-BE49-F238E27FC236}">
                <a16:creationId xmlns:a16="http://schemas.microsoft.com/office/drawing/2014/main" id="{00000000-0008-0000-0200-00005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90" name="Picture 89">
            <a:extLst>
              <a:ext uri="{FF2B5EF4-FFF2-40B4-BE49-F238E27FC236}">
                <a16:creationId xmlns:a16="http://schemas.microsoft.com/office/drawing/2014/main" id="{00000000-0008-0000-0200-00005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91" name="Picture 90">
            <a:extLst>
              <a:ext uri="{FF2B5EF4-FFF2-40B4-BE49-F238E27FC236}">
                <a16:creationId xmlns:a16="http://schemas.microsoft.com/office/drawing/2014/main" id="{00000000-0008-0000-0200-00005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92" name="Picture 91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73</xdr:col>
      <xdr:colOff>142874</xdr:colOff>
      <xdr:row>2</xdr:row>
      <xdr:rowOff>0</xdr:rowOff>
    </xdr:from>
    <xdr:to>
      <xdr:col>78</xdr:col>
      <xdr:colOff>723899</xdr:colOff>
      <xdr:row>3</xdr:row>
      <xdr:rowOff>178435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GrpSpPr/>
      </xdr:nvGrpSpPr>
      <xdr:grpSpPr>
        <a:xfrm flipH="1">
          <a:off x="68341874" y="455083"/>
          <a:ext cx="5078942" cy="368935"/>
          <a:chOff x="0" y="0"/>
          <a:chExt cx="3666676" cy="392431"/>
        </a:xfrm>
      </xdr:grpSpPr>
      <xdr:pic>
        <xdr:nvPicPr>
          <xdr:cNvPr id="94" name="Picture 93">
            <a:extLst>
              <a:ext uri="{FF2B5EF4-FFF2-40B4-BE49-F238E27FC236}">
                <a16:creationId xmlns:a16="http://schemas.microsoft.com/office/drawing/2014/main" id="{00000000-0008-0000-0200-00005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95" name="Picture 94">
            <a:extLst>
              <a:ext uri="{FF2B5EF4-FFF2-40B4-BE49-F238E27FC236}">
                <a16:creationId xmlns:a16="http://schemas.microsoft.com/office/drawing/2014/main" id="{00000000-0008-0000-02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96" name="Picture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97" name="Picture 96">
            <a:extLst>
              <a:ext uri="{FF2B5EF4-FFF2-40B4-BE49-F238E27FC236}">
                <a16:creationId xmlns:a16="http://schemas.microsoft.com/office/drawing/2014/main" id="{00000000-0008-0000-0200-00006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98" name="Picture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99" name="Picture 98">
            <a:extLst>
              <a:ext uri="{FF2B5EF4-FFF2-40B4-BE49-F238E27FC236}">
                <a16:creationId xmlns:a16="http://schemas.microsoft.com/office/drawing/2014/main" id="{00000000-0008-0000-0200-00006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79</xdr:col>
      <xdr:colOff>142875</xdr:colOff>
      <xdr:row>2</xdr:row>
      <xdr:rowOff>0</xdr:rowOff>
    </xdr:from>
    <xdr:to>
      <xdr:col>84</xdr:col>
      <xdr:colOff>733425</xdr:colOff>
      <xdr:row>3</xdr:row>
      <xdr:rowOff>178435</xdr:rowOff>
    </xdr:to>
    <xdr:grpSp>
      <xdr:nvGrpSpPr>
        <xdr:cNvPr id="100" name="Group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GrpSpPr/>
      </xdr:nvGrpSpPr>
      <xdr:grpSpPr>
        <a:xfrm flipH="1">
          <a:off x="73739375" y="455083"/>
          <a:ext cx="5088467" cy="368935"/>
          <a:chOff x="0" y="0"/>
          <a:chExt cx="3666676" cy="392431"/>
        </a:xfrm>
      </xdr:grpSpPr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00000000-0008-0000-0200-00006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02" name="Picture 101">
            <a:extLst>
              <a:ext uri="{FF2B5EF4-FFF2-40B4-BE49-F238E27FC236}">
                <a16:creationId xmlns:a16="http://schemas.microsoft.com/office/drawing/2014/main" id="{00000000-0008-0000-0200-00006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03" name="Picture 102">
            <a:extLst>
              <a:ext uri="{FF2B5EF4-FFF2-40B4-BE49-F238E27FC236}">
                <a16:creationId xmlns:a16="http://schemas.microsoft.com/office/drawing/2014/main" id="{00000000-0008-0000-0200-00006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04" name="Picture 103">
            <a:extLst>
              <a:ext uri="{FF2B5EF4-FFF2-40B4-BE49-F238E27FC236}">
                <a16:creationId xmlns:a16="http://schemas.microsoft.com/office/drawing/2014/main" id="{00000000-0008-0000-0200-00006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05" name="Picture 104">
            <a:extLst>
              <a:ext uri="{FF2B5EF4-FFF2-40B4-BE49-F238E27FC236}">
                <a16:creationId xmlns:a16="http://schemas.microsoft.com/office/drawing/2014/main" id="{00000000-0008-0000-0200-00006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06" name="Picture 105">
            <a:extLst>
              <a:ext uri="{FF2B5EF4-FFF2-40B4-BE49-F238E27FC236}">
                <a16:creationId xmlns:a16="http://schemas.microsoft.com/office/drawing/2014/main" id="{00000000-0008-0000-0200-00006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85</xdr:col>
      <xdr:colOff>142875</xdr:colOff>
      <xdr:row>2</xdr:row>
      <xdr:rowOff>0</xdr:rowOff>
    </xdr:from>
    <xdr:to>
      <xdr:col>90</xdr:col>
      <xdr:colOff>714375</xdr:colOff>
      <xdr:row>3</xdr:row>
      <xdr:rowOff>178435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GrpSpPr/>
      </xdr:nvGrpSpPr>
      <xdr:grpSpPr>
        <a:xfrm flipH="1">
          <a:off x="79136875" y="455083"/>
          <a:ext cx="5069417" cy="368935"/>
          <a:chOff x="0" y="0"/>
          <a:chExt cx="3666676" cy="392431"/>
        </a:xfrm>
      </xdr:grpSpPr>
      <xdr:pic>
        <xdr:nvPicPr>
          <xdr:cNvPr id="108" name="Picture 107">
            <a:extLst>
              <a:ext uri="{FF2B5EF4-FFF2-40B4-BE49-F238E27FC236}">
                <a16:creationId xmlns:a16="http://schemas.microsoft.com/office/drawing/2014/main" id="{00000000-0008-0000-0200-00006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09" name="Picture 108">
            <a:extLst>
              <a:ext uri="{FF2B5EF4-FFF2-40B4-BE49-F238E27FC236}">
                <a16:creationId xmlns:a16="http://schemas.microsoft.com/office/drawing/2014/main" id="{00000000-0008-0000-0200-00006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10" name="Picture 109">
            <a:extLst>
              <a:ext uri="{FF2B5EF4-FFF2-40B4-BE49-F238E27FC236}">
                <a16:creationId xmlns:a16="http://schemas.microsoft.com/office/drawing/2014/main" id="{00000000-0008-0000-0200-00006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11" name="Picture 110">
            <a:extLst>
              <a:ext uri="{FF2B5EF4-FFF2-40B4-BE49-F238E27FC236}">
                <a16:creationId xmlns:a16="http://schemas.microsoft.com/office/drawing/2014/main" id="{00000000-0008-0000-0200-00006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12" name="Picture 111">
            <a:extLst>
              <a:ext uri="{FF2B5EF4-FFF2-40B4-BE49-F238E27FC236}">
                <a16:creationId xmlns:a16="http://schemas.microsoft.com/office/drawing/2014/main" id="{00000000-0008-0000-0200-00007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13" name="Picture 112">
            <a:extLst>
              <a:ext uri="{FF2B5EF4-FFF2-40B4-BE49-F238E27FC236}">
                <a16:creationId xmlns:a16="http://schemas.microsoft.com/office/drawing/2014/main" id="{00000000-0008-0000-0200-00007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91</xdr:col>
      <xdr:colOff>142875</xdr:colOff>
      <xdr:row>2</xdr:row>
      <xdr:rowOff>0</xdr:rowOff>
    </xdr:from>
    <xdr:to>
      <xdr:col>96</xdr:col>
      <xdr:colOff>733425</xdr:colOff>
      <xdr:row>3</xdr:row>
      <xdr:rowOff>178435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GrpSpPr/>
      </xdr:nvGrpSpPr>
      <xdr:grpSpPr>
        <a:xfrm flipH="1">
          <a:off x="84534375" y="455083"/>
          <a:ext cx="5088467" cy="368935"/>
          <a:chOff x="0" y="0"/>
          <a:chExt cx="3666676" cy="392431"/>
        </a:xfrm>
      </xdr:grpSpPr>
      <xdr:pic>
        <xdr:nvPicPr>
          <xdr:cNvPr id="115" name="Picture 114">
            <a:extLst>
              <a:ext uri="{FF2B5EF4-FFF2-40B4-BE49-F238E27FC236}">
                <a16:creationId xmlns:a16="http://schemas.microsoft.com/office/drawing/2014/main" id="{00000000-0008-0000-0200-00007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16" name="Picture 115">
            <a:extLst>
              <a:ext uri="{FF2B5EF4-FFF2-40B4-BE49-F238E27FC236}">
                <a16:creationId xmlns:a16="http://schemas.microsoft.com/office/drawing/2014/main" id="{00000000-0008-0000-0200-00007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17" name="Picture 116">
            <a:extLst>
              <a:ext uri="{FF2B5EF4-FFF2-40B4-BE49-F238E27FC236}">
                <a16:creationId xmlns:a16="http://schemas.microsoft.com/office/drawing/2014/main" id="{00000000-0008-0000-0200-00007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18" name="Picture 117">
            <a:extLst>
              <a:ext uri="{FF2B5EF4-FFF2-40B4-BE49-F238E27FC236}">
                <a16:creationId xmlns:a16="http://schemas.microsoft.com/office/drawing/2014/main" id="{00000000-0008-0000-0200-00007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19" name="Picture 118">
            <a:extLst>
              <a:ext uri="{FF2B5EF4-FFF2-40B4-BE49-F238E27FC236}">
                <a16:creationId xmlns:a16="http://schemas.microsoft.com/office/drawing/2014/main" id="{00000000-0008-0000-0200-00007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20" name="Picture 119">
            <a:extLst>
              <a:ext uri="{FF2B5EF4-FFF2-40B4-BE49-F238E27FC236}">
                <a16:creationId xmlns:a16="http://schemas.microsoft.com/office/drawing/2014/main" id="{00000000-0008-0000-0200-00007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97</xdr:col>
      <xdr:colOff>142874</xdr:colOff>
      <xdr:row>2</xdr:row>
      <xdr:rowOff>0</xdr:rowOff>
    </xdr:from>
    <xdr:to>
      <xdr:col>102</xdr:col>
      <xdr:colOff>723899</xdr:colOff>
      <xdr:row>3</xdr:row>
      <xdr:rowOff>178435</xdr:rowOff>
    </xdr:to>
    <xdr:grpSp>
      <xdr:nvGrpSpPr>
        <xdr:cNvPr id="121" name="Group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GrpSpPr/>
      </xdr:nvGrpSpPr>
      <xdr:grpSpPr>
        <a:xfrm flipH="1">
          <a:off x="89931874" y="455083"/>
          <a:ext cx="5078942" cy="368935"/>
          <a:chOff x="0" y="0"/>
          <a:chExt cx="3666676" cy="392431"/>
        </a:xfrm>
      </xdr:grpSpPr>
      <xdr:pic>
        <xdr:nvPicPr>
          <xdr:cNvPr id="122" name="Picture 121">
            <a:extLst>
              <a:ext uri="{FF2B5EF4-FFF2-40B4-BE49-F238E27FC236}">
                <a16:creationId xmlns:a16="http://schemas.microsoft.com/office/drawing/2014/main" id="{00000000-0008-0000-0200-00007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23" name="Picture 122">
            <a:extLst>
              <a:ext uri="{FF2B5EF4-FFF2-40B4-BE49-F238E27FC236}">
                <a16:creationId xmlns:a16="http://schemas.microsoft.com/office/drawing/2014/main" id="{00000000-0008-0000-0200-00007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24" name="Picture 123">
            <a:extLst>
              <a:ext uri="{FF2B5EF4-FFF2-40B4-BE49-F238E27FC236}">
                <a16:creationId xmlns:a16="http://schemas.microsoft.com/office/drawing/2014/main" id="{00000000-0008-0000-0200-00007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25" name="Picture 124">
            <a:extLst>
              <a:ext uri="{FF2B5EF4-FFF2-40B4-BE49-F238E27FC236}">
                <a16:creationId xmlns:a16="http://schemas.microsoft.com/office/drawing/2014/main" id="{00000000-0008-0000-0200-00007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26" name="Picture 125">
            <a:extLst>
              <a:ext uri="{FF2B5EF4-FFF2-40B4-BE49-F238E27FC236}">
                <a16:creationId xmlns:a16="http://schemas.microsoft.com/office/drawing/2014/main" id="{00000000-0008-0000-0200-00007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27" name="Picture 126">
            <a:extLst>
              <a:ext uri="{FF2B5EF4-FFF2-40B4-BE49-F238E27FC236}">
                <a16:creationId xmlns:a16="http://schemas.microsoft.com/office/drawing/2014/main" id="{00000000-0008-0000-0200-00007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103</xdr:col>
      <xdr:colOff>142874</xdr:colOff>
      <xdr:row>2</xdr:row>
      <xdr:rowOff>0</xdr:rowOff>
    </xdr:from>
    <xdr:to>
      <xdr:col>108</xdr:col>
      <xdr:colOff>723899</xdr:colOff>
      <xdr:row>3</xdr:row>
      <xdr:rowOff>178435</xdr:rowOff>
    </xdr:to>
    <xdr:grpSp>
      <xdr:nvGrpSpPr>
        <xdr:cNvPr id="128" name="Group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GrpSpPr/>
      </xdr:nvGrpSpPr>
      <xdr:grpSpPr>
        <a:xfrm flipH="1">
          <a:off x="95329374" y="455083"/>
          <a:ext cx="5078942" cy="368935"/>
          <a:chOff x="0" y="0"/>
          <a:chExt cx="3666676" cy="392431"/>
        </a:xfrm>
      </xdr:grpSpPr>
      <xdr:pic>
        <xdr:nvPicPr>
          <xdr:cNvPr id="129" name="Picture 128">
            <a:extLst>
              <a:ext uri="{FF2B5EF4-FFF2-40B4-BE49-F238E27FC236}">
                <a16:creationId xmlns:a16="http://schemas.microsoft.com/office/drawing/2014/main" id="{00000000-0008-0000-0200-00008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30" name="Picture 129">
            <a:extLst>
              <a:ext uri="{FF2B5EF4-FFF2-40B4-BE49-F238E27FC236}">
                <a16:creationId xmlns:a16="http://schemas.microsoft.com/office/drawing/2014/main" id="{00000000-0008-0000-0200-00008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31" name="Picture 130">
            <a:extLst>
              <a:ext uri="{FF2B5EF4-FFF2-40B4-BE49-F238E27FC236}">
                <a16:creationId xmlns:a16="http://schemas.microsoft.com/office/drawing/2014/main" id="{00000000-0008-0000-0200-00008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32" name="Picture 131">
            <a:extLst>
              <a:ext uri="{FF2B5EF4-FFF2-40B4-BE49-F238E27FC236}">
                <a16:creationId xmlns:a16="http://schemas.microsoft.com/office/drawing/2014/main" id="{00000000-0008-0000-0200-00008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33" name="Picture 132">
            <a:extLst>
              <a:ext uri="{FF2B5EF4-FFF2-40B4-BE49-F238E27FC236}">
                <a16:creationId xmlns:a16="http://schemas.microsoft.com/office/drawing/2014/main" id="{00000000-0008-0000-0200-00008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34" name="Picture 133">
            <a:extLst>
              <a:ext uri="{FF2B5EF4-FFF2-40B4-BE49-F238E27FC236}">
                <a16:creationId xmlns:a16="http://schemas.microsoft.com/office/drawing/2014/main" id="{00000000-0008-0000-0200-00008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109</xdr:col>
      <xdr:colOff>142875</xdr:colOff>
      <xdr:row>2</xdr:row>
      <xdr:rowOff>0</xdr:rowOff>
    </xdr:from>
    <xdr:to>
      <xdr:col>114</xdr:col>
      <xdr:colOff>714375</xdr:colOff>
      <xdr:row>3</xdr:row>
      <xdr:rowOff>178435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GrpSpPr/>
      </xdr:nvGrpSpPr>
      <xdr:grpSpPr>
        <a:xfrm flipH="1">
          <a:off x="100726875" y="455083"/>
          <a:ext cx="5069417" cy="368935"/>
          <a:chOff x="0" y="0"/>
          <a:chExt cx="3666676" cy="392431"/>
        </a:xfrm>
      </xdr:grpSpPr>
      <xdr:pic>
        <xdr:nvPicPr>
          <xdr:cNvPr id="136" name="Picture 135">
            <a:extLst>
              <a:ext uri="{FF2B5EF4-FFF2-40B4-BE49-F238E27FC236}">
                <a16:creationId xmlns:a16="http://schemas.microsoft.com/office/drawing/2014/main" id="{00000000-0008-0000-0200-00008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37" name="Picture 136">
            <a:extLst>
              <a:ext uri="{FF2B5EF4-FFF2-40B4-BE49-F238E27FC236}">
                <a16:creationId xmlns:a16="http://schemas.microsoft.com/office/drawing/2014/main" id="{00000000-0008-0000-0200-00008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38" name="Picture 137">
            <a:extLst>
              <a:ext uri="{FF2B5EF4-FFF2-40B4-BE49-F238E27FC236}">
                <a16:creationId xmlns:a16="http://schemas.microsoft.com/office/drawing/2014/main" id="{00000000-0008-0000-0200-00008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39" name="Picture 138">
            <a:extLst>
              <a:ext uri="{FF2B5EF4-FFF2-40B4-BE49-F238E27FC236}">
                <a16:creationId xmlns:a16="http://schemas.microsoft.com/office/drawing/2014/main" id="{00000000-0008-0000-0200-00008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40" name="Picture 139">
            <a:extLst>
              <a:ext uri="{FF2B5EF4-FFF2-40B4-BE49-F238E27FC236}">
                <a16:creationId xmlns:a16="http://schemas.microsoft.com/office/drawing/2014/main" id="{00000000-0008-0000-0200-00008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41" name="Picture 140">
            <a:extLst>
              <a:ext uri="{FF2B5EF4-FFF2-40B4-BE49-F238E27FC236}">
                <a16:creationId xmlns:a16="http://schemas.microsoft.com/office/drawing/2014/main" id="{00000000-0008-0000-0200-00008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152400</xdr:colOff>
      <xdr:row>2</xdr:row>
      <xdr:rowOff>0</xdr:rowOff>
    </xdr:from>
    <xdr:to>
      <xdr:col>18</xdr:col>
      <xdr:colOff>733425</xdr:colOff>
      <xdr:row>3</xdr:row>
      <xdr:rowOff>178435</xdr:rowOff>
    </xdr:to>
    <xdr:grpSp>
      <xdr:nvGrpSpPr>
        <xdr:cNvPr id="142" name="Group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GrpSpPr/>
      </xdr:nvGrpSpPr>
      <xdr:grpSpPr>
        <a:xfrm flipH="1">
          <a:off x="14376400" y="455083"/>
          <a:ext cx="5078942" cy="368935"/>
          <a:chOff x="0" y="0"/>
          <a:chExt cx="3666676" cy="392431"/>
        </a:xfrm>
      </xdr:grpSpPr>
      <xdr:pic>
        <xdr:nvPicPr>
          <xdr:cNvPr id="143" name="Picture 142">
            <a:extLst>
              <a:ext uri="{FF2B5EF4-FFF2-40B4-BE49-F238E27FC236}">
                <a16:creationId xmlns:a16="http://schemas.microsoft.com/office/drawing/2014/main" id="{00000000-0008-0000-0200-00008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44" name="Picture 143">
            <a:extLst>
              <a:ext uri="{FF2B5EF4-FFF2-40B4-BE49-F238E27FC236}">
                <a16:creationId xmlns:a16="http://schemas.microsoft.com/office/drawing/2014/main" id="{00000000-0008-0000-0200-00009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45" name="Picture 144">
            <a:extLst>
              <a:ext uri="{FF2B5EF4-FFF2-40B4-BE49-F238E27FC236}">
                <a16:creationId xmlns:a16="http://schemas.microsoft.com/office/drawing/2014/main" id="{00000000-0008-0000-0200-00009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46" name="Picture 145">
            <a:extLst>
              <a:ext uri="{FF2B5EF4-FFF2-40B4-BE49-F238E27FC236}">
                <a16:creationId xmlns:a16="http://schemas.microsoft.com/office/drawing/2014/main" id="{00000000-0008-0000-0200-00009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47" name="Picture 146">
            <a:extLst>
              <a:ext uri="{FF2B5EF4-FFF2-40B4-BE49-F238E27FC236}">
                <a16:creationId xmlns:a16="http://schemas.microsoft.com/office/drawing/2014/main" id="{00000000-0008-0000-0200-00009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48" name="Picture 147">
            <a:extLst>
              <a:ext uri="{FF2B5EF4-FFF2-40B4-BE49-F238E27FC236}">
                <a16:creationId xmlns:a16="http://schemas.microsoft.com/office/drawing/2014/main" id="{00000000-0008-0000-0200-00009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121</xdr:col>
      <xdr:colOff>171448</xdr:colOff>
      <xdr:row>2</xdr:row>
      <xdr:rowOff>0</xdr:rowOff>
    </xdr:from>
    <xdr:to>
      <xdr:col>126</xdr:col>
      <xdr:colOff>609599</xdr:colOff>
      <xdr:row>3</xdr:row>
      <xdr:rowOff>178435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GrpSpPr/>
      </xdr:nvGrpSpPr>
      <xdr:grpSpPr>
        <a:xfrm flipH="1">
          <a:off x="111550448" y="455083"/>
          <a:ext cx="3507318" cy="368935"/>
          <a:chOff x="0" y="0"/>
          <a:chExt cx="3666676" cy="392431"/>
        </a:xfrm>
      </xdr:grpSpPr>
      <xdr:pic>
        <xdr:nvPicPr>
          <xdr:cNvPr id="150" name="Picture 149">
            <a:extLst>
              <a:ext uri="{FF2B5EF4-FFF2-40B4-BE49-F238E27FC236}">
                <a16:creationId xmlns:a16="http://schemas.microsoft.com/office/drawing/2014/main" id="{00000000-0008-0000-02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51" name="Picture 150">
            <a:extLst>
              <a:ext uri="{FF2B5EF4-FFF2-40B4-BE49-F238E27FC236}">
                <a16:creationId xmlns:a16="http://schemas.microsoft.com/office/drawing/2014/main" id="{00000000-0008-0000-0200-00009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52" name="Picture 151">
            <a:extLst>
              <a:ext uri="{FF2B5EF4-FFF2-40B4-BE49-F238E27FC236}">
                <a16:creationId xmlns:a16="http://schemas.microsoft.com/office/drawing/2014/main" id="{00000000-0008-0000-0200-00009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53" name="Picture 152">
            <a:extLst>
              <a:ext uri="{FF2B5EF4-FFF2-40B4-BE49-F238E27FC236}">
                <a16:creationId xmlns:a16="http://schemas.microsoft.com/office/drawing/2014/main" id="{00000000-0008-0000-0200-00009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54" name="Picture 153">
            <a:extLst>
              <a:ext uri="{FF2B5EF4-FFF2-40B4-BE49-F238E27FC236}">
                <a16:creationId xmlns:a16="http://schemas.microsoft.com/office/drawing/2014/main" id="{00000000-0008-0000-0200-00009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55" name="Picture 154">
            <a:extLst>
              <a:ext uri="{FF2B5EF4-FFF2-40B4-BE49-F238E27FC236}">
                <a16:creationId xmlns:a16="http://schemas.microsoft.com/office/drawing/2014/main" id="{00000000-0008-0000-0200-00009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127</xdr:col>
      <xdr:colOff>107948</xdr:colOff>
      <xdr:row>2</xdr:row>
      <xdr:rowOff>10583</xdr:rowOff>
    </xdr:from>
    <xdr:to>
      <xdr:col>132</xdr:col>
      <xdr:colOff>546099</xdr:colOff>
      <xdr:row>3</xdr:row>
      <xdr:rowOff>189018</xdr:rowOff>
    </xdr:to>
    <xdr:grpSp>
      <xdr:nvGrpSpPr>
        <xdr:cNvPr id="163" name="Group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GrpSpPr/>
      </xdr:nvGrpSpPr>
      <xdr:grpSpPr>
        <a:xfrm flipH="1">
          <a:off x="115169948" y="465666"/>
          <a:ext cx="3507318" cy="368935"/>
          <a:chOff x="0" y="0"/>
          <a:chExt cx="3666676" cy="392431"/>
        </a:xfrm>
      </xdr:grpSpPr>
      <xdr:pic>
        <xdr:nvPicPr>
          <xdr:cNvPr id="164" name="Picture 163">
            <a:extLst>
              <a:ext uri="{FF2B5EF4-FFF2-40B4-BE49-F238E27FC236}">
                <a16:creationId xmlns:a16="http://schemas.microsoft.com/office/drawing/2014/main" id="{00000000-0008-0000-0200-0000A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65" name="Picture 164">
            <a:extLst>
              <a:ext uri="{FF2B5EF4-FFF2-40B4-BE49-F238E27FC236}">
                <a16:creationId xmlns:a16="http://schemas.microsoft.com/office/drawing/2014/main" id="{00000000-0008-0000-0200-0000A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66" name="Picture 165">
            <a:extLst>
              <a:ext uri="{FF2B5EF4-FFF2-40B4-BE49-F238E27FC236}">
                <a16:creationId xmlns:a16="http://schemas.microsoft.com/office/drawing/2014/main" id="{00000000-0008-0000-0200-0000A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67" name="Picture 166">
            <a:extLst>
              <a:ext uri="{FF2B5EF4-FFF2-40B4-BE49-F238E27FC236}">
                <a16:creationId xmlns:a16="http://schemas.microsoft.com/office/drawing/2014/main" id="{00000000-0008-0000-0200-0000A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68" name="Picture 167">
            <a:extLst>
              <a:ext uri="{FF2B5EF4-FFF2-40B4-BE49-F238E27FC236}">
                <a16:creationId xmlns:a16="http://schemas.microsoft.com/office/drawing/2014/main" id="{00000000-0008-0000-0200-0000A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69" name="Picture 168">
            <a:extLst>
              <a:ext uri="{FF2B5EF4-FFF2-40B4-BE49-F238E27FC236}">
                <a16:creationId xmlns:a16="http://schemas.microsoft.com/office/drawing/2014/main" id="{00000000-0008-0000-0200-0000A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133</xdr:col>
      <xdr:colOff>84667</xdr:colOff>
      <xdr:row>1</xdr:row>
      <xdr:rowOff>148166</xdr:rowOff>
    </xdr:from>
    <xdr:to>
      <xdr:col>138</xdr:col>
      <xdr:colOff>522818</xdr:colOff>
      <xdr:row>3</xdr:row>
      <xdr:rowOff>136101</xdr:rowOff>
    </xdr:to>
    <xdr:grpSp>
      <xdr:nvGrpSpPr>
        <xdr:cNvPr id="156" name="Group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GrpSpPr/>
      </xdr:nvGrpSpPr>
      <xdr:grpSpPr>
        <a:xfrm flipH="1">
          <a:off x="118829667" y="412749"/>
          <a:ext cx="3507318" cy="368935"/>
          <a:chOff x="0" y="0"/>
          <a:chExt cx="3666676" cy="392431"/>
        </a:xfrm>
      </xdr:grpSpPr>
      <xdr:pic>
        <xdr:nvPicPr>
          <xdr:cNvPr id="157" name="Picture 156">
            <a:extLst>
              <a:ext uri="{FF2B5EF4-FFF2-40B4-BE49-F238E27FC236}">
                <a16:creationId xmlns:a16="http://schemas.microsoft.com/office/drawing/2014/main" id="{00000000-0008-0000-0200-00009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58" name="Picture 157">
            <a:extLst>
              <a:ext uri="{FF2B5EF4-FFF2-40B4-BE49-F238E27FC236}">
                <a16:creationId xmlns:a16="http://schemas.microsoft.com/office/drawing/2014/main" id="{00000000-0008-0000-0200-00009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59" name="Picture 158">
            <a:extLst>
              <a:ext uri="{FF2B5EF4-FFF2-40B4-BE49-F238E27FC236}">
                <a16:creationId xmlns:a16="http://schemas.microsoft.com/office/drawing/2014/main" id="{00000000-0008-0000-0200-00009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60" name="Picture 159">
            <a:extLst>
              <a:ext uri="{FF2B5EF4-FFF2-40B4-BE49-F238E27FC236}">
                <a16:creationId xmlns:a16="http://schemas.microsoft.com/office/drawing/2014/main" id="{00000000-0008-0000-0200-0000A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61" name="Picture 160">
            <a:extLst>
              <a:ext uri="{FF2B5EF4-FFF2-40B4-BE49-F238E27FC236}">
                <a16:creationId xmlns:a16="http://schemas.microsoft.com/office/drawing/2014/main" id="{00000000-0008-0000-0200-0000A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62" name="Picture 161">
            <a:extLst>
              <a:ext uri="{FF2B5EF4-FFF2-40B4-BE49-F238E27FC236}">
                <a16:creationId xmlns:a16="http://schemas.microsoft.com/office/drawing/2014/main" id="{00000000-0008-0000-0200-0000A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139</xdr:col>
      <xdr:colOff>116416</xdr:colOff>
      <xdr:row>1</xdr:row>
      <xdr:rowOff>148167</xdr:rowOff>
    </xdr:from>
    <xdr:to>
      <xdr:col>144</xdr:col>
      <xdr:colOff>554567</xdr:colOff>
      <xdr:row>3</xdr:row>
      <xdr:rowOff>136102</xdr:rowOff>
    </xdr:to>
    <xdr:grpSp>
      <xdr:nvGrpSpPr>
        <xdr:cNvPr id="170" name="Group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GrpSpPr/>
      </xdr:nvGrpSpPr>
      <xdr:grpSpPr>
        <a:xfrm flipH="1">
          <a:off x="122544416" y="412750"/>
          <a:ext cx="3507318" cy="368935"/>
          <a:chOff x="0" y="0"/>
          <a:chExt cx="3666676" cy="392431"/>
        </a:xfrm>
      </xdr:grpSpPr>
      <xdr:pic>
        <xdr:nvPicPr>
          <xdr:cNvPr id="171" name="Picture 170">
            <a:extLst>
              <a:ext uri="{FF2B5EF4-FFF2-40B4-BE49-F238E27FC236}">
                <a16:creationId xmlns:a16="http://schemas.microsoft.com/office/drawing/2014/main" id="{00000000-0008-0000-0200-0000A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72" name="Picture 171">
            <a:extLst>
              <a:ext uri="{FF2B5EF4-FFF2-40B4-BE49-F238E27FC236}">
                <a16:creationId xmlns:a16="http://schemas.microsoft.com/office/drawing/2014/main" id="{00000000-0008-0000-0200-0000A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73" name="Picture 172">
            <a:extLst>
              <a:ext uri="{FF2B5EF4-FFF2-40B4-BE49-F238E27FC236}">
                <a16:creationId xmlns:a16="http://schemas.microsoft.com/office/drawing/2014/main" id="{00000000-0008-0000-0200-0000A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74" name="Picture 173">
            <a:extLst>
              <a:ext uri="{FF2B5EF4-FFF2-40B4-BE49-F238E27FC236}">
                <a16:creationId xmlns:a16="http://schemas.microsoft.com/office/drawing/2014/main" id="{00000000-0008-0000-0200-0000A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75" name="Picture 174">
            <a:extLst>
              <a:ext uri="{FF2B5EF4-FFF2-40B4-BE49-F238E27FC236}">
                <a16:creationId xmlns:a16="http://schemas.microsoft.com/office/drawing/2014/main" id="{00000000-0008-0000-0200-0000A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76" name="Picture 175">
            <a:extLst>
              <a:ext uri="{FF2B5EF4-FFF2-40B4-BE49-F238E27FC236}">
                <a16:creationId xmlns:a16="http://schemas.microsoft.com/office/drawing/2014/main" id="{00000000-0008-0000-0200-0000B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145</xdr:col>
      <xdr:colOff>171448</xdr:colOff>
      <xdr:row>2</xdr:row>
      <xdr:rowOff>0</xdr:rowOff>
    </xdr:from>
    <xdr:to>
      <xdr:col>150</xdr:col>
      <xdr:colOff>609599</xdr:colOff>
      <xdr:row>3</xdr:row>
      <xdr:rowOff>178435</xdr:rowOff>
    </xdr:to>
    <xdr:grpSp>
      <xdr:nvGrpSpPr>
        <xdr:cNvPr id="177" name="Group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GrpSpPr/>
      </xdr:nvGrpSpPr>
      <xdr:grpSpPr>
        <a:xfrm flipH="1">
          <a:off x="126282448" y="455083"/>
          <a:ext cx="3507318" cy="368935"/>
          <a:chOff x="0" y="0"/>
          <a:chExt cx="3666676" cy="392431"/>
        </a:xfrm>
      </xdr:grpSpPr>
      <xdr:pic>
        <xdr:nvPicPr>
          <xdr:cNvPr id="178" name="Picture 177">
            <a:extLst>
              <a:ext uri="{FF2B5EF4-FFF2-40B4-BE49-F238E27FC236}">
                <a16:creationId xmlns:a16="http://schemas.microsoft.com/office/drawing/2014/main" id="{00000000-0008-0000-0200-0000B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79" name="Picture 178">
            <a:extLst>
              <a:ext uri="{FF2B5EF4-FFF2-40B4-BE49-F238E27FC236}">
                <a16:creationId xmlns:a16="http://schemas.microsoft.com/office/drawing/2014/main" id="{00000000-0008-0000-0200-0000B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80" name="Picture 179">
            <a:extLst>
              <a:ext uri="{FF2B5EF4-FFF2-40B4-BE49-F238E27FC236}">
                <a16:creationId xmlns:a16="http://schemas.microsoft.com/office/drawing/2014/main" id="{00000000-0008-0000-0200-0000B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81" name="Picture 180">
            <a:extLst>
              <a:ext uri="{FF2B5EF4-FFF2-40B4-BE49-F238E27FC236}">
                <a16:creationId xmlns:a16="http://schemas.microsoft.com/office/drawing/2014/main" id="{00000000-0008-0000-0200-0000B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82" name="Picture 181">
            <a:extLst>
              <a:ext uri="{FF2B5EF4-FFF2-40B4-BE49-F238E27FC236}">
                <a16:creationId xmlns:a16="http://schemas.microsoft.com/office/drawing/2014/main" id="{00000000-0008-0000-0200-0000B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83" name="Picture 182">
            <a:extLst>
              <a:ext uri="{FF2B5EF4-FFF2-40B4-BE49-F238E27FC236}">
                <a16:creationId xmlns:a16="http://schemas.microsoft.com/office/drawing/2014/main" id="{00000000-0008-0000-0200-0000B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151</xdr:col>
      <xdr:colOff>107948</xdr:colOff>
      <xdr:row>2</xdr:row>
      <xdr:rowOff>10583</xdr:rowOff>
    </xdr:from>
    <xdr:to>
      <xdr:col>156</xdr:col>
      <xdr:colOff>546099</xdr:colOff>
      <xdr:row>3</xdr:row>
      <xdr:rowOff>189018</xdr:rowOff>
    </xdr:to>
    <xdr:grpSp>
      <xdr:nvGrpSpPr>
        <xdr:cNvPr id="184" name="Group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GrpSpPr/>
      </xdr:nvGrpSpPr>
      <xdr:grpSpPr>
        <a:xfrm flipH="1">
          <a:off x="129901948" y="465666"/>
          <a:ext cx="3507318" cy="368935"/>
          <a:chOff x="0" y="0"/>
          <a:chExt cx="3666676" cy="392431"/>
        </a:xfrm>
      </xdr:grpSpPr>
      <xdr:pic>
        <xdr:nvPicPr>
          <xdr:cNvPr id="185" name="Picture 184">
            <a:extLst>
              <a:ext uri="{FF2B5EF4-FFF2-40B4-BE49-F238E27FC236}">
                <a16:creationId xmlns:a16="http://schemas.microsoft.com/office/drawing/2014/main" id="{00000000-0008-0000-0200-0000B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86" name="Picture 185">
            <a:extLst>
              <a:ext uri="{FF2B5EF4-FFF2-40B4-BE49-F238E27FC236}">
                <a16:creationId xmlns:a16="http://schemas.microsoft.com/office/drawing/2014/main" id="{00000000-0008-0000-0200-0000B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87" name="Picture 186">
            <a:extLst>
              <a:ext uri="{FF2B5EF4-FFF2-40B4-BE49-F238E27FC236}">
                <a16:creationId xmlns:a16="http://schemas.microsoft.com/office/drawing/2014/main" id="{00000000-0008-0000-0200-0000B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88" name="Picture 187">
            <a:extLst>
              <a:ext uri="{FF2B5EF4-FFF2-40B4-BE49-F238E27FC236}">
                <a16:creationId xmlns:a16="http://schemas.microsoft.com/office/drawing/2014/main" id="{00000000-0008-0000-0200-0000B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89" name="Picture 188">
            <a:extLst>
              <a:ext uri="{FF2B5EF4-FFF2-40B4-BE49-F238E27FC236}">
                <a16:creationId xmlns:a16="http://schemas.microsoft.com/office/drawing/2014/main" id="{00000000-0008-0000-0200-0000B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90" name="Picture 189">
            <a:extLst>
              <a:ext uri="{FF2B5EF4-FFF2-40B4-BE49-F238E27FC236}">
                <a16:creationId xmlns:a16="http://schemas.microsoft.com/office/drawing/2014/main" id="{00000000-0008-0000-0200-0000B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</xdr:col>
      <xdr:colOff>49785</xdr:colOff>
      <xdr:row>21</xdr:row>
      <xdr:rowOff>83878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2099310</xdr:colOff>
      <xdr:row>42</xdr:row>
      <xdr:rowOff>171450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</xdr:col>
      <xdr:colOff>2228850</xdr:colOff>
      <xdr:row>42</xdr:row>
      <xdr:rowOff>183515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25</xdr:row>
      <xdr:rowOff>0</xdr:rowOff>
    </xdr:from>
    <xdr:to>
      <xdr:col>2</xdr:col>
      <xdr:colOff>2099310</xdr:colOff>
      <xdr:row>42</xdr:row>
      <xdr:rowOff>171450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3</xdr:row>
      <xdr:rowOff>0</xdr:rowOff>
    </xdr:from>
    <xdr:to>
      <xdr:col>3</xdr:col>
      <xdr:colOff>3585942</xdr:colOff>
      <xdr:row>21</xdr:row>
      <xdr:rowOff>128257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</xdr:colOff>
      <xdr:row>25</xdr:row>
      <xdr:rowOff>0</xdr:rowOff>
    </xdr:from>
    <xdr:to>
      <xdr:col>3</xdr:col>
      <xdr:colOff>2228851</xdr:colOff>
      <xdr:row>42</xdr:row>
      <xdr:rowOff>183515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0.88763</cdr:x>
      <cdr:y>0</cdr:y>
    </cdr:from>
    <cdr:to>
      <cdr:x>1</cdr:x>
      <cdr:y>0.00812</cdr:y>
    </cdr:to>
    <cdr:sp macro="" textlink="">
      <cdr:nvSpPr>
        <cdr:cNvPr id="3" name="TextBox 2"/>
        <cdr:cNvSpPr txBox="1"/>
      </cdr:nvSpPr>
      <cdr:spPr>
        <a:xfrm xmlns:a="http://schemas.openxmlformats.org/drawingml/2006/main" flipV="1">
          <a:off x="4868400" y="0"/>
          <a:ext cx="616319" cy="26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ar-EG" sz="1100" b="0">
              <a:cs typeface="+mj-cs"/>
            </a:rPr>
            <a:t>مشر</a:t>
          </a:r>
          <a:endParaRPr lang="en-US" sz="1100" b="0">
            <a:cs typeface="+mj-cs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0.88763</cdr:x>
      <cdr:y>0</cdr:y>
    </cdr:from>
    <cdr:to>
      <cdr:x>1</cdr:x>
      <cdr:y>0.00812</cdr:y>
    </cdr:to>
    <cdr:sp macro="" textlink="">
      <cdr:nvSpPr>
        <cdr:cNvPr id="3" name="TextBox 2"/>
        <cdr:cNvSpPr txBox="1"/>
      </cdr:nvSpPr>
      <cdr:spPr>
        <a:xfrm xmlns:a="http://schemas.openxmlformats.org/drawingml/2006/main" flipV="1">
          <a:off x="4868400" y="0"/>
          <a:ext cx="616319" cy="26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ar-EG" sz="1100" b="0">
              <a:cs typeface="+mj-cs"/>
            </a:rPr>
            <a:t>مشر</a:t>
          </a:r>
          <a:endParaRPr lang="en-US" sz="1100" b="0">
            <a:cs typeface="+mj-cs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158751</xdr:colOff>
      <xdr:row>2</xdr:row>
      <xdr:rowOff>0</xdr:rowOff>
    </xdr:from>
    <xdr:to>
      <xdr:col>6</xdr:col>
      <xdr:colOff>464819</xdr:colOff>
      <xdr:row>3</xdr:row>
      <xdr:rowOff>178435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009564056" y="460375"/>
          <a:ext cx="3362006" cy="368935"/>
          <a:chOff x="0" y="0"/>
          <a:chExt cx="3666676" cy="39243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142875</xdr:colOff>
      <xdr:row>2</xdr:row>
      <xdr:rowOff>0</xdr:rowOff>
    </xdr:from>
    <xdr:to>
      <xdr:col>12</xdr:col>
      <xdr:colOff>448943</xdr:colOff>
      <xdr:row>3</xdr:row>
      <xdr:rowOff>178435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pSpPr/>
      </xdr:nvGrpSpPr>
      <xdr:grpSpPr>
        <a:xfrm>
          <a:off x="10005912807" y="460375"/>
          <a:ext cx="3362006" cy="368935"/>
          <a:chOff x="0" y="0"/>
          <a:chExt cx="3666676" cy="392431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142875</xdr:colOff>
      <xdr:row>2</xdr:row>
      <xdr:rowOff>0</xdr:rowOff>
    </xdr:from>
    <xdr:to>
      <xdr:col>18</xdr:col>
      <xdr:colOff>448943</xdr:colOff>
      <xdr:row>3</xdr:row>
      <xdr:rowOff>178435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pSpPr/>
      </xdr:nvGrpSpPr>
      <xdr:grpSpPr>
        <a:xfrm>
          <a:off x="10002245682" y="460375"/>
          <a:ext cx="3362006" cy="368935"/>
          <a:chOff x="0" y="0"/>
          <a:chExt cx="3666676" cy="392431"/>
        </a:xfrm>
      </xdr:grpSpPr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142875</xdr:colOff>
      <xdr:row>2</xdr:row>
      <xdr:rowOff>0</xdr:rowOff>
    </xdr:from>
    <xdr:to>
      <xdr:col>24</xdr:col>
      <xdr:colOff>448943</xdr:colOff>
      <xdr:row>3</xdr:row>
      <xdr:rowOff>178435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pSpPr/>
      </xdr:nvGrpSpPr>
      <xdr:grpSpPr>
        <a:xfrm>
          <a:off x="9998578557" y="460375"/>
          <a:ext cx="3362006" cy="368935"/>
          <a:chOff x="0" y="0"/>
          <a:chExt cx="3666676" cy="392431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25</xdr:col>
      <xdr:colOff>142875</xdr:colOff>
      <xdr:row>2</xdr:row>
      <xdr:rowOff>0</xdr:rowOff>
    </xdr:from>
    <xdr:to>
      <xdr:col>30</xdr:col>
      <xdr:colOff>448943</xdr:colOff>
      <xdr:row>3</xdr:row>
      <xdr:rowOff>178435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GrpSpPr/>
      </xdr:nvGrpSpPr>
      <xdr:grpSpPr>
        <a:xfrm>
          <a:off x="9994911432" y="460375"/>
          <a:ext cx="3362006" cy="368935"/>
          <a:chOff x="0" y="0"/>
          <a:chExt cx="3666676" cy="392431"/>
        </a:xfrm>
      </xdr:grpSpPr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31</xdr:col>
      <xdr:colOff>142875</xdr:colOff>
      <xdr:row>2</xdr:row>
      <xdr:rowOff>0</xdr:rowOff>
    </xdr:from>
    <xdr:to>
      <xdr:col>36</xdr:col>
      <xdr:colOff>448943</xdr:colOff>
      <xdr:row>3</xdr:row>
      <xdr:rowOff>178435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GrpSpPr/>
      </xdr:nvGrpSpPr>
      <xdr:grpSpPr>
        <a:xfrm>
          <a:off x="9991244307" y="460375"/>
          <a:ext cx="3362006" cy="368935"/>
          <a:chOff x="0" y="0"/>
          <a:chExt cx="3666676" cy="392431"/>
        </a:xfrm>
      </xdr:grpSpPr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00000000-0008-0000-04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00000000-0008-0000-0400-00002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00000000-0008-0000-04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37</xdr:col>
      <xdr:colOff>142875</xdr:colOff>
      <xdr:row>2</xdr:row>
      <xdr:rowOff>0</xdr:rowOff>
    </xdr:from>
    <xdr:to>
      <xdr:col>42</xdr:col>
      <xdr:colOff>448943</xdr:colOff>
      <xdr:row>3</xdr:row>
      <xdr:rowOff>178435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GrpSpPr/>
      </xdr:nvGrpSpPr>
      <xdr:grpSpPr>
        <a:xfrm>
          <a:off x="9987577182" y="460375"/>
          <a:ext cx="3362006" cy="368935"/>
          <a:chOff x="0" y="0"/>
          <a:chExt cx="3666676" cy="392431"/>
        </a:xfrm>
      </xdr:grpSpPr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00000000-0008-0000-04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50" name="Picture 49">
            <a:extLst>
              <a:ext uri="{FF2B5EF4-FFF2-40B4-BE49-F238E27FC236}">
                <a16:creationId xmlns:a16="http://schemas.microsoft.com/office/drawing/2014/main" id="{00000000-0008-0000-04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43</xdr:col>
      <xdr:colOff>142875</xdr:colOff>
      <xdr:row>2</xdr:row>
      <xdr:rowOff>0</xdr:rowOff>
    </xdr:from>
    <xdr:to>
      <xdr:col>48</xdr:col>
      <xdr:colOff>448943</xdr:colOff>
      <xdr:row>3</xdr:row>
      <xdr:rowOff>178435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pSpPr/>
      </xdr:nvGrpSpPr>
      <xdr:grpSpPr>
        <a:xfrm>
          <a:off x="9983910057" y="460375"/>
          <a:ext cx="3362006" cy="368935"/>
          <a:chOff x="0" y="0"/>
          <a:chExt cx="3666676" cy="392431"/>
        </a:xfrm>
      </xdr:grpSpPr>
      <xdr:pic>
        <xdr:nvPicPr>
          <xdr:cNvPr id="52" name="Picture 51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53" name="Picture 52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54" name="Picture 53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56" name="Picture 55">
            <a:extLst>
              <a:ext uri="{FF2B5EF4-FFF2-40B4-BE49-F238E27FC236}">
                <a16:creationId xmlns:a16="http://schemas.microsoft.com/office/drawing/2014/main" id="{00000000-0008-0000-04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00000000-0008-0000-04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49</xdr:col>
      <xdr:colOff>142875</xdr:colOff>
      <xdr:row>2</xdr:row>
      <xdr:rowOff>0</xdr:rowOff>
    </xdr:from>
    <xdr:to>
      <xdr:col>54</xdr:col>
      <xdr:colOff>448943</xdr:colOff>
      <xdr:row>3</xdr:row>
      <xdr:rowOff>178435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GrpSpPr/>
      </xdr:nvGrpSpPr>
      <xdr:grpSpPr>
        <a:xfrm>
          <a:off x="9980242932" y="460375"/>
          <a:ext cx="3362006" cy="368935"/>
          <a:chOff x="0" y="0"/>
          <a:chExt cx="3666676" cy="392431"/>
        </a:xfrm>
      </xdr:grpSpPr>
      <xdr:pic>
        <xdr:nvPicPr>
          <xdr:cNvPr id="59" name="Picture 58">
            <a:extLst>
              <a:ext uri="{FF2B5EF4-FFF2-40B4-BE49-F238E27FC236}">
                <a16:creationId xmlns:a16="http://schemas.microsoft.com/office/drawing/2014/main" id="{00000000-0008-0000-04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00000000-0008-0000-04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61" name="Picture 60">
            <a:extLst>
              <a:ext uri="{FF2B5EF4-FFF2-40B4-BE49-F238E27FC236}">
                <a16:creationId xmlns:a16="http://schemas.microsoft.com/office/drawing/2014/main" id="{00000000-0008-0000-0400-00003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62" name="Picture 61">
            <a:extLst>
              <a:ext uri="{FF2B5EF4-FFF2-40B4-BE49-F238E27FC236}">
                <a16:creationId xmlns:a16="http://schemas.microsoft.com/office/drawing/2014/main" id="{00000000-0008-0000-04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63" name="Picture 62">
            <a:extLst>
              <a:ext uri="{FF2B5EF4-FFF2-40B4-BE49-F238E27FC236}">
                <a16:creationId xmlns:a16="http://schemas.microsoft.com/office/drawing/2014/main" id="{00000000-0008-0000-0400-00003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64" name="Picture 63">
            <a:extLst>
              <a:ext uri="{FF2B5EF4-FFF2-40B4-BE49-F238E27FC236}">
                <a16:creationId xmlns:a16="http://schemas.microsoft.com/office/drawing/2014/main" id="{00000000-0008-0000-04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55</xdr:col>
      <xdr:colOff>142875</xdr:colOff>
      <xdr:row>2</xdr:row>
      <xdr:rowOff>0</xdr:rowOff>
    </xdr:from>
    <xdr:to>
      <xdr:col>60</xdr:col>
      <xdr:colOff>448943</xdr:colOff>
      <xdr:row>3</xdr:row>
      <xdr:rowOff>178435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GrpSpPr/>
      </xdr:nvGrpSpPr>
      <xdr:grpSpPr>
        <a:xfrm>
          <a:off x="9976575807" y="460375"/>
          <a:ext cx="3362006" cy="368935"/>
          <a:chOff x="0" y="0"/>
          <a:chExt cx="3666676" cy="392431"/>
        </a:xfrm>
      </xdr:grpSpPr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00000000-0008-0000-0400-00004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00000000-0008-0000-04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00000000-0008-0000-0400-00004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00000000-0008-0000-0400-00004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70" name="Picture 69">
            <a:extLst>
              <a:ext uri="{FF2B5EF4-FFF2-40B4-BE49-F238E27FC236}">
                <a16:creationId xmlns:a16="http://schemas.microsoft.com/office/drawing/2014/main" id="{00000000-0008-0000-0400-00004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71" name="Picture 70">
            <a:extLst>
              <a:ext uri="{FF2B5EF4-FFF2-40B4-BE49-F238E27FC236}">
                <a16:creationId xmlns:a16="http://schemas.microsoft.com/office/drawing/2014/main" id="{00000000-0008-0000-0400-00004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61</xdr:col>
      <xdr:colOff>142875</xdr:colOff>
      <xdr:row>2</xdr:row>
      <xdr:rowOff>0</xdr:rowOff>
    </xdr:from>
    <xdr:to>
      <xdr:col>66</xdr:col>
      <xdr:colOff>448943</xdr:colOff>
      <xdr:row>3</xdr:row>
      <xdr:rowOff>178435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GrpSpPr/>
      </xdr:nvGrpSpPr>
      <xdr:grpSpPr>
        <a:xfrm>
          <a:off x="9972908682" y="460375"/>
          <a:ext cx="3362006" cy="368935"/>
          <a:chOff x="0" y="0"/>
          <a:chExt cx="3666676" cy="392431"/>
        </a:xfrm>
      </xdr:grpSpPr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00000000-0008-0000-0400-00004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74" name="Picture 73">
            <a:extLst>
              <a:ext uri="{FF2B5EF4-FFF2-40B4-BE49-F238E27FC236}">
                <a16:creationId xmlns:a16="http://schemas.microsoft.com/office/drawing/2014/main" id="{00000000-0008-0000-04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75" name="Picture 74">
            <a:extLst>
              <a:ext uri="{FF2B5EF4-FFF2-40B4-BE49-F238E27FC236}">
                <a16:creationId xmlns:a16="http://schemas.microsoft.com/office/drawing/2014/main" id="{00000000-0008-0000-0400-00004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76" name="Picture 75">
            <a:extLst>
              <a:ext uri="{FF2B5EF4-FFF2-40B4-BE49-F238E27FC236}">
                <a16:creationId xmlns:a16="http://schemas.microsoft.com/office/drawing/2014/main" id="{00000000-0008-0000-0400-00004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77" name="Picture 76">
            <a:extLst>
              <a:ext uri="{FF2B5EF4-FFF2-40B4-BE49-F238E27FC236}">
                <a16:creationId xmlns:a16="http://schemas.microsoft.com/office/drawing/2014/main" id="{00000000-0008-0000-0400-00004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78" name="Picture 77">
            <a:extLst>
              <a:ext uri="{FF2B5EF4-FFF2-40B4-BE49-F238E27FC236}">
                <a16:creationId xmlns:a16="http://schemas.microsoft.com/office/drawing/2014/main" id="{00000000-0008-0000-0400-00004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67</xdr:col>
      <xdr:colOff>142875</xdr:colOff>
      <xdr:row>2</xdr:row>
      <xdr:rowOff>0</xdr:rowOff>
    </xdr:from>
    <xdr:to>
      <xdr:col>72</xdr:col>
      <xdr:colOff>448943</xdr:colOff>
      <xdr:row>3</xdr:row>
      <xdr:rowOff>178435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GrpSpPr/>
      </xdr:nvGrpSpPr>
      <xdr:grpSpPr>
        <a:xfrm>
          <a:off x="9969241557" y="460375"/>
          <a:ext cx="3362006" cy="368935"/>
          <a:chOff x="0" y="0"/>
          <a:chExt cx="3666676" cy="392431"/>
        </a:xfrm>
      </xdr:grpSpPr>
      <xdr:pic>
        <xdr:nvPicPr>
          <xdr:cNvPr id="80" name="Picture 79">
            <a:extLst>
              <a:ext uri="{FF2B5EF4-FFF2-40B4-BE49-F238E27FC236}">
                <a16:creationId xmlns:a16="http://schemas.microsoft.com/office/drawing/2014/main" id="{00000000-0008-0000-0400-00005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81" name="Picture 80">
            <a:extLst>
              <a:ext uri="{FF2B5EF4-FFF2-40B4-BE49-F238E27FC236}">
                <a16:creationId xmlns:a16="http://schemas.microsoft.com/office/drawing/2014/main" id="{00000000-0008-0000-0400-00005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82" name="Picture 81">
            <a:extLst>
              <a:ext uri="{FF2B5EF4-FFF2-40B4-BE49-F238E27FC236}">
                <a16:creationId xmlns:a16="http://schemas.microsoft.com/office/drawing/2014/main" id="{00000000-0008-0000-04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83" name="Picture 82">
            <a:extLst>
              <a:ext uri="{FF2B5EF4-FFF2-40B4-BE49-F238E27FC236}">
                <a16:creationId xmlns:a16="http://schemas.microsoft.com/office/drawing/2014/main" id="{00000000-0008-0000-0400-00005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84" name="Picture 83">
            <a:extLst>
              <a:ext uri="{FF2B5EF4-FFF2-40B4-BE49-F238E27FC236}">
                <a16:creationId xmlns:a16="http://schemas.microsoft.com/office/drawing/2014/main" id="{00000000-0008-0000-0400-00005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85" name="Picture 84">
            <a:extLst>
              <a:ext uri="{FF2B5EF4-FFF2-40B4-BE49-F238E27FC236}">
                <a16:creationId xmlns:a16="http://schemas.microsoft.com/office/drawing/2014/main" id="{00000000-0008-0000-0400-00005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115</xdr:col>
      <xdr:colOff>142875</xdr:colOff>
      <xdr:row>2</xdr:row>
      <xdr:rowOff>0</xdr:rowOff>
    </xdr:from>
    <xdr:to>
      <xdr:col>120</xdr:col>
      <xdr:colOff>448943</xdr:colOff>
      <xdr:row>3</xdr:row>
      <xdr:rowOff>178435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GrpSpPr/>
      </xdr:nvGrpSpPr>
      <xdr:grpSpPr>
        <a:xfrm>
          <a:off x="9939904557" y="460375"/>
          <a:ext cx="3362006" cy="368935"/>
          <a:chOff x="0" y="0"/>
          <a:chExt cx="3666676" cy="392431"/>
        </a:xfrm>
      </xdr:grpSpPr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00000000-0008-0000-0400-00005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00000000-0008-0000-0400-00005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89" name="Picture 88">
            <a:extLst>
              <a:ext uri="{FF2B5EF4-FFF2-40B4-BE49-F238E27FC236}">
                <a16:creationId xmlns:a16="http://schemas.microsoft.com/office/drawing/2014/main" id="{00000000-0008-0000-0400-00005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90" name="Picture 89">
            <a:extLst>
              <a:ext uri="{FF2B5EF4-FFF2-40B4-BE49-F238E27FC236}">
                <a16:creationId xmlns:a16="http://schemas.microsoft.com/office/drawing/2014/main" id="{00000000-0008-0000-0400-00005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91" name="Picture 90">
            <a:extLst>
              <a:ext uri="{FF2B5EF4-FFF2-40B4-BE49-F238E27FC236}">
                <a16:creationId xmlns:a16="http://schemas.microsoft.com/office/drawing/2014/main" id="{00000000-0008-0000-0400-00005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92" name="Picture 91">
            <a:extLst>
              <a:ext uri="{FF2B5EF4-FFF2-40B4-BE49-F238E27FC236}">
                <a16:creationId xmlns:a16="http://schemas.microsoft.com/office/drawing/2014/main" id="{00000000-0008-0000-0400-00005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73</xdr:col>
      <xdr:colOff>142875</xdr:colOff>
      <xdr:row>2</xdr:row>
      <xdr:rowOff>0</xdr:rowOff>
    </xdr:from>
    <xdr:to>
      <xdr:col>78</xdr:col>
      <xdr:colOff>448943</xdr:colOff>
      <xdr:row>3</xdr:row>
      <xdr:rowOff>178435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GrpSpPr/>
      </xdr:nvGrpSpPr>
      <xdr:grpSpPr>
        <a:xfrm>
          <a:off x="9965574432" y="460375"/>
          <a:ext cx="3362006" cy="368935"/>
          <a:chOff x="0" y="0"/>
          <a:chExt cx="3666676" cy="392431"/>
        </a:xfrm>
      </xdr:grpSpPr>
      <xdr:pic>
        <xdr:nvPicPr>
          <xdr:cNvPr id="94" name="Picture 93">
            <a:extLst>
              <a:ext uri="{FF2B5EF4-FFF2-40B4-BE49-F238E27FC236}">
                <a16:creationId xmlns:a16="http://schemas.microsoft.com/office/drawing/2014/main" id="{00000000-0008-0000-0400-00005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95" name="Picture 94">
            <a:extLst>
              <a:ext uri="{FF2B5EF4-FFF2-40B4-BE49-F238E27FC236}">
                <a16:creationId xmlns:a16="http://schemas.microsoft.com/office/drawing/2014/main" id="{00000000-0008-0000-04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96" name="Picture 95">
            <a:extLst>
              <a:ext uri="{FF2B5EF4-FFF2-40B4-BE49-F238E27FC236}">
                <a16:creationId xmlns:a16="http://schemas.microsoft.com/office/drawing/2014/main" id="{00000000-0008-0000-0400-00006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97" name="Picture 96">
            <a:extLst>
              <a:ext uri="{FF2B5EF4-FFF2-40B4-BE49-F238E27FC236}">
                <a16:creationId xmlns:a16="http://schemas.microsoft.com/office/drawing/2014/main" id="{00000000-0008-0000-0400-00006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98" name="Picture 97">
            <a:extLst>
              <a:ext uri="{FF2B5EF4-FFF2-40B4-BE49-F238E27FC236}">
                <a16:creationId xmlns:a16="http://schemas.microsoft.com/office/drawing/2014/main" id="{00000000-0008-0000-0400-00006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99" name="Picture 98">
            <a:extLst>
              <a:ext uri="{FF2B5EF4-FFF2-40B4-BE49-F238E27FC236}">
                <a16:creationId xmlns:a16="http://schemas.microsoft.com/office/drawing/2014/main" id="{00000000-0008-0000-0400-00006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79</xdr:col>
      <xdr:colOff>142875</xdr:colOff>
      <xdr:row>2</xdr:row>
      <xdr:rowOff>0</xdr:rowOff>
    </xdr:from>
    <xdr:to>
      <xdr:col>84</xdr:col>
      <xdr:colOff>448943</xdr:colOff>
      <xdr:row>3</xdr:row>
      <xdr:rowOff>178435</xdr:rowOff>
    </xdr:to>
    <xdr:grpSp>
      <xdr:nvGrpSpPr>
        <xdr:cNvPr id="100" name="Group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GrpSpPr/>
      </xdr:nvGrpSpPr>
      <xdr:grpSpPr>
        <a:xfrm>
          <a:off x="9961907307" y="460375"/>
          <a:ext cx="3362006" cy="368935"/>
          <a:chOff x="0" y="0"/>
          <a:chExt cx="3666676" cy="392431"/>
        </a:xfrm>
      </xdr:grpSpPr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00000000-0008-0000-0400-00006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02" name="Picture 101">
            <a:extLst>
              <a:ext uri="{FF2B5EF4-FFF2-40B4-BE49-F238E27FC236}">
                <a16:creationId xmlns:a16="http://schemas.microsoft.com/office/drawing/2014/main" id="{00000000-0008-0000-0400-00006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03" name="Picture 102">
            <a:extLst>
              <a:ext uri="{FF2B5EF4-FFF2-40B4-BE49-F238E27FC236}">
                <a16:creationId xmlns:a16="http://schemas.microsoft.com/office/drawing/2014/main" id="{00000000-0008-0000-0400-00006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04" name="Picture 103">
            <a:extLst>
              <a:ext uri="{FF2B5EF4-FFF2-40B4-BE49-F238E27FC236}">
                <a16:creationId xmlns:a16="http://schemas.microsoft.com/office/drawing/2014/main" id="{00000000-0008-0000-0400-00006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05" name="Picture 104">
            <a:extLst>
              <a:ext uri="{FF2B5EF4-FFF2-40B4-BE49-F238E27FC236}">
                <a16:creationId xmlns:a16="http://schemas.microsoft.com/office/drawing/2014/main" id="{00000000-0008-0000-0400-00006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06" name="Picture 105">
            <a:extLst>
              <a:ext uri="{FF2B5EF4-FFF2-40B4-BE49-F238E27FC236}">
                <a16:creationId xmlns:a16="http://schemas.microsoft.com/office/drawing/2014/main" id="{00000000-0008-0000-0400-00006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85</xdr:col>
      <xdr:colOff>142875</xdr:colOff>
      <xdr:row>2</xdr:row>
      <xdr:rowOff>0</xdr:rowOff>
    </xdr:from>
    <xdr:to>
      <xdr:col>90</xdr:col>
      <xdr:colOff>448943</xdr:colOff>
      <xdr:row>3</xdr:row>
      <xdr:rowOff>178435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GrpSpPr/>
      </xdr:nvGrpSpPr>
      <xdr:grpSpPr>
        <a:xfrm>
          <a:off x="9958240182" y="460375"/>
          <a:ext cx="3362006" cy="368935"/>
          <a:chOff x="0" y="0"/>
          <a:chExt cx="3666676" cy="392431"/>
        </a:xfrm>
      </xdr:grpSpPr>
      <xdr:pic>
        <xdr:nvPicPr>
          <xdr:cNvPr id="108" name="Picture 107">
            <a:extLst>
              <a:ext uri="{FF2B5EF4-FFF2-40B4-BE49-F238E27FC236}">
                <a16:creationId xmlns:a16="http://schemas.microsoft.com/office/drawing/2014/main" id="{00000000-0008-0000-0400-00006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09" name="Picture 108">
            <a:extLst>
              <a:ext uri="{FF2B5EF4-FFF2-40B4-BE49-F238E27FC236}">
                <a16:creationId xmlns:a16="http://schemas.microsoft.com/office/drawing/2014/main" id="{00000000-0008-0000-0400-00006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10" name="Picture 109">
            <a:extLst>
              <a:ext uri="{FF2B5EF4-FFF2-40B4-BE49-F238E27FC236}">
                <a16:creationId xmlns:a16="http://schemas.microsoft.com/office/drawing/2014/main" id="{00000000-0008-0000-0400-00006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11" name="Picture 110">
            <a:extLst>
              <a:ext uri="{FF2B5EF4-FFF2-40B4-BE49-F238E27FC236}">
                <a16:creationId xmlns:a16="http://schemas.microsoft.com/office/drawing/2014/main" id="{00000000-0008-0000-0400-00006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12" name="Picture 111">
            <a:extLst>
              <a:ext uri="{FF2B5EF4-FFF2-40B4-BE49-F238E27FC236}">
                <a16:creationId xmlns:a16="http://schemas.microsoft.com/office/drawing/2014/main" id="{00000000-0008-0000-0400-00007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13" name="Picture 112">
            <a:extLst>
              <a:ext uri="{FF2B5EF4-FFF2-40B4-BE49-F238E27FC236}">
                <a16:creationId xmlns:a16="http://schemas.microsoft.com/office/drawing/2014/main" id="{00000000-0008-0000-0400-00007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91</xdr:col>
      <xdr:colOff>142875</xdr:colOff>
      <xdr:row>2</xdr:row>
      <xdr:rowOff>0</xdr:rowOff>
    </xdr:from>
    <xdr:to>
      <xdr:col>96</xdr:col>
      <xdr:colOff>448943</xdr:colOff>
      <xdr:row>3</xdr:row>
      <xdr:rowOff>178435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GrpSpPr/>
      </xdr:nvGrpSpPr>
      <xdr:grpSpPr>
        <a:xfrm>
          <a:off x="9954573057" y="460375"/>
          <a:ext cx="3362006" cy="368935"/>
          <a:chOff x="0" y="0"/>
          <a:chExt cx="3666676" cy="392431"/>
        </a:xfrm>
      </xdr:grpSpPr>
      <xdr:pic>
        <xdr:nvPicPr>
          <xdr:cNvPr id="115" name="Picture 114">
            <a:extLst>
              <a:ext uri="{FF2B5EF4-FFF2-40B4-BE49-F238E27FC236}">
                <a16:creationId xmlns:a16="http://schemas.microsoft.com/office/drawing/2014/main" id="{00000000-0008-0000-0400-00007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16" name="Picture 115">
            <a:extLst>
              <a:ext uri="{FF2B5EF4-FFF2-40B4-BE49-F238E27FC236}">
                <a16:creationId xmlns:a16="http://schemas.microsoft.com/office/drawing/2014/main" id="{00000000-0008-0000-0400-00007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17" name="Picture 116">
            <a:extLst>
              <a:ext uri="{FF2B5EF4-FFF2-40B4-BE49-F238E27FC236}">
                <a16:creationId xmlns:a16="http://schemas.microsoft.com/office/drawing/2014/main" id="{00000000-0008-0000-0400-00007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18" name="Picture 117">
            <a:extLst>
              <a:ext uri="{FF2B5EF4-FFF2-40B4-BE49-F238E27FC236}">
                <a16:creationId xmlns:a16="http://schemas.microsoft.com/office/drawing/2014/main" id="{00000000-0008-0000-0400-00007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19" name="Picture 118">
            <a:extLst>
              <a:ext uri="{FF2B5EF4-FFF2-40B4-BE49-F238E27FC236}">
                <a16:creationId xmlns:a16="http://schemas.microsoft.com/office/drawing/2014/main" id="{00000000-0008-0000-0400-00007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20" name="Picture 119">
            <a:extLst>
              <a:ext uri="{FF2B5EF4-FFF2-40B4-BE49-F238E27FC236}">
                <a16:creationId xmlns:a16="http://schemas.microsoft.com/office/drawing/2014/main" id="{00000000-0008-0000-0400-00007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97</xdr:col>
      <xdr:colOff>142875</xdr:colOff>
      <xdr:row>2</xdr:row>
      <xdr:rowOff>0</xdr:rowOff>
    </xdr:from>
    <xdr:to>
      <xdr:col>102</xdr:col>
      <xdr:colOff>448943</xdr:colOff>
      <xdr:row>3</xdr:row>
      <xdr:rowOff>178435</xdr:rowOff>
    </xdr:to>
    <xdr:grpSp>
      <xdr:nvGrpSpPr>
        <xdr:cNvPr id="121" name="Group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GrpSpPr/>
      </xdr:nvGrpSpPr>
      <xdr:grpSpPr>
        <a:xfrm>
          <a:off x="9950905932" y="460375"/>
          <a:ext cx="3362006" cy="368935"/>
          <a:chOff x="0" y="0"/>
          <a:chExt cx="3666676" cy="392431"/>
        </a:xfrm>
      </xdr:grpSpPr>
      <xdr:pic>
        <xdr:nvPicPr>
          <xdr:cNvPr id="122" name="Picture 121">
            <a:extLst>
              <a:ext uri="{FF2B5EF4-FFF2-40B4-BE49-F238E27FC236}">
                <a16:creationId xmlns:a16="http://schemas.microsoft.com/office/drawing/2014/main" id="{00000000-0008-0000-0400-00007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23" name="Picture 122">
            <a:extLst>
              <a:ext uri="{FF2B5EF4-FFF2-40B4-BE49-F238E27FC236}">
                <a16:creationId xmlns:a16="http://schemas.microsoft.com/office/drawing/2014/main" id="{00000000-0008-0000-0400-00007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24" name="Picture 123">
            <a:extLst>
              <a:ext uri="{FF2B5EF4-FFF2-40B4-BE49-F238E27FC236}">
                <a16:creationId xmlns:a16="http://schemas.microsoft.com/office/drawing/2014/main" id="{00000000-0008-0000-0400-00007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25" name="Picture 124">
            <a:extLst>
              <a:ext uri="{FF2B5EF4-FFF2-40B4-BE49-F238E27FC236}">
                <a16:creationId xmlns:a16="http://schemas.microsoft.com/office/drawing/2014/main" id="{00000000-0008-0000-0400-00007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26" name="Picture 125">
            <a:extLst>
              <a:ext uri="{FF2B5EF4-FFF2-40B4-BE49-F238E27FC236}">
                <a16:creationId xmlns:a16="http://schemas.microsoft.com/office/drawing/2014/main" id="{00000000-0008-0000-0400-00007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27" name="Picture 126">
            <a:extLst>
              <a:ext uri="{FF2B5EF4-FFF2-40B4-BE49-F238E27FC236}">
                <a16:creationId xmlns:a16="http://schemas.microsoft.com/office/drawing/2014/main" id="{00000000-0008-0000-0400-00007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103</xdr:col>
      <xdr:colOff>142875</xdr:colOff>
      <xdr:row>2</xdr:row>
      <xdr:rowOff>0</xdr:rowOff>
    </xdr:from>
    <xdr:to>
      <xdr:col>108</xdr:col>
      <xdr:colOff>448943</xdr:colOff>
      <xdr:row>3</xdr:row>
      <xdr:rowOff>178435</xdr:rowOff>
    </xdr:to>
    <xdr:grpSp>
      <xdr:nvGrpSpPr>
        <xdr:cNvPr id="128" name="Group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GrpSpPr/>
      </xdr:nvGrpSpPr>
      <xdr:grpSpPr>
        <a:xfrm>
          <a:off x="9947238807" y="460375"/>
          <a:ext cx="3362006" cy="368935"/>
          <a:chOff x="0" y="0"/>
          <a:chExt cx="3666676" cy="392431"/>
        </a:xfrm>
      </xdr:grpSpPr>
      <xdr:pic>
        <xdr:nvPicPr>
          <xdr:cNvPr id="129" name="Picture 128">
            <a:extLst>
              <a:ext uri="{FF2B5EF4-FFF2-40B4-BE49-F238E27FC236}">
                <a16:creationId xmlns:a16="http://schemas.microsoft.com/office/drawing/2014/main" id="{00000000-0008-0000-0400-00008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30" name="Picture 129">
            <a:extLst>
              <a:ext uri="{FF2B5EF4-FFF2-40B4-BE49-F238E27FC236}">
                <a16:creationId xmlns:a16="http://schemas.microsoft.com/office/drawing/2014/main" id="{00000000-0008-0000-0400-00008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31" name="Picture 130">
            <a:extLst>
              <a:ext uri="{FF2B5EF4-FFF2-40B4-BE49-F238E27FC236}">
                <a16:creationId xmlns:a16="http://schemas.microsoft.com/office/drawing/2014/main" id="{00000000-0008-0000-0400-00008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32" name="Picture 131">
            <a:extLst>
              <a:ext uri="{FF2B5EF4-FFF2-40B4-BE49-F238E27FC236}">
                <a16:creationId xmlns:a16="http://schemas.microsoft.com/office/drawing/2014/main" id="{00000000-0008-0000-0400-00008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33" name="Picture 132">
            <a:extLst>
              <a:ext uri="{FF2B5EF4-FFF2-40B4-BE49-F238E27FC236}">
                <a16:creationId xmlns:a16="http://schemas.microsoft.com/office/drawing/2014/main" id="{00000000-0008-0000-0400-00008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34" name="Picture 133">
            <a:extLst>
              <a:ext uri="{FF2B5EF4-FFF2-40B4-BE49-F238E27FC236}">
                <a16:creationId xmlns:a16="http://schemas.microsoft.com/office/drawing/2014/main" id="{00000000-0008-0000-0400-00008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109</xdr:col>
      <xdr:colOff>142875</xdr:colOff>
      <xdr:row>2</xdr:row>
      <xdr:rowOff>0</xdr:rowOff>
    </xdr:from>
    <xdr:to>
      <xdr:col>114</xdr:col>
      <xdr:colOff>448943</xdr:colOff>
      <xdr:row>3</xdr:row>
      <xdr:rowOff>178435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GrpSpPr/>
      </xdr:nvGrpSpPr>
      <xdr:grpSpPr>
        <a:xfrm>
          <a:off x="9943571682" y="460375"/>
          <a:ext cx="3362006" cy="368935"/>
          <a:chOff x="0" y="0"/>
          <a:chExt cx="3666676" cy="392431"/>
        </a:xfrm>
      </xdr:grpSpPr>
      <xdr:pic>
        <xdr:nvPicPr>
          <xdr:cNvPr id="136" name="Picture 135">
            <a:extLst>
              <a:ext uri="{FF2B5EF4-FFF2-40B4-BE49-F238E27FC236}">
                <a16:creationId xmlns:a16="http://schemas.microsoft.com/office/drawing/2014/main" id="{00000000-0008-0000-0400-00008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37" name="Picture 136">
            <a:extLst>
              <a:ext uri="{FF2B5EF4-FFF2-40B4-BE49-F238E27FC236}">
                <a16:creationId xmlns:a16="http://schemas.microsoft.com/office/drawing/2014/main" id="{00000000-0008-0000-0400-00008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38" name="Picture 137">
            <a:extLst>
              <a:ext uri="{FF2B5EF4-FFF2-40B4-BE49-F238E27FC236}">
                <a16:creationId xmlns:a16="http://schemas.microsoft.com/office/drawing/2014/main" id="{00000000-0008-0000-0400-00008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39" name="Picture 138">
            <a:extLst>
              <a:ext uri="{FF2B5EF4-FFF2-40B4-BE49-F238E27FC236}">
                <a16:creationId xmlns:a16="http://schemas.microsoft.com/office/drawing/2014/main" id="{00000000-0008-0000-0400-00008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40" name="Picture 139">
            <a:extLst>
              <a:ext uri="{FF2B5EF4-FFF2-40B4-BE49-F238E27FC236}">
                <a16:creationId xmlns:a16="http://schemas.microsoft.com/office/drawing/2014/main" id="{00000000-0008-0000-0400-00008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41" name="Picture 140">
            <a:extLst>
              <a:ext uri="{FF2B5EF4-FFF2-40B4-BE49-F238E27FC236}">
                <a16:creationId xmlns:a16="http://schemas.microsoft.com/office/drawing/2014/main" id="{00000000-0008-0000-0400-00008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121</xdr:col>
      <xdr:colOff>142875</xdr:colOff>
      <xdr:row>2</xdr:row>
      <xdr:rowOff>0</xdr:rowOff>
    </xdr:from>
    <xdr:to>
      <xdr:col>126</xdr:col>
      <xdr:colOff>448943</xdr:colOff>
      <xdr:row>3</xdr:row>
      <xdr:rowOff>178435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GrpSpPr/>
      </xdr:nvGrpSpPr>
      <xdr:grpSpPr>
        <a:xfrm>
          <a:off x="9936237432" y="460375"/>
          <a:ext cx="3362006" cy="368935"/>
          <a:chOff x="0" y="0"/>
          <a:chExt cx="3666676" cy="392431"/>
        </a:xfrm>
      </xdr:grpSpPr>
      <xdr:pic>
        <xdr:nvPicPr>
          <xdr:cNvPr id="150" name="Picture 149">
            <a:extLst>
              <a:ext uri="{FF2B5EF4-FFF2-40B4-BE49-F238E27FC236}">
                <a16:creationId xmlns:a16="http://schemas.microsoft.com/office/drawing/2014/main" id="{00000000-0008-0000-04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51" name="Picture 150">
            <a:extLst>
              <a:ext uri="{FF2B5EF4-FFF2-40B4-BE49-F238E27FC236}">
                <a16:creationId xmlns:a16="http://schemas.microsoft.com/office/drawing/2014/main" id="{00000000-0008-0000-0400-00009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52" name="Picture 151">
            <a:extLst>
              <a:ext uri="{FF2B5EF4-FFF2-40B4-BE49-F238E27FC236}">
                <a16:creationId xmlns:a16="http://schemas.microsoft.com/office/drawing/2014/main" id="{00000000-0008-0000-0400-00009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53" name="Picture 152">
            <a:extLst>
              <a:ext uri="{FF2B5EF4-FFF2-40B4-BE49-F238E27FC236}">
                <a16:creationId xmlns:a16="http://schemas.microsoft.com/office/drawing/2014/main" id="{00000000-0008-0000-0400-00009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54" name="Picture 153">
            <a:extLst>
              <a:ext uri="{FF2B5EF4-FFF2-40B4-BE49-F238E27FC236}">
                <a16:creationId xmlns:a16="http://schemas.microsoft.com/office/drawing/2014/main" id="{00000000-0008-0000-0400-00009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55" name="Picture 154">
            <a:extLst>
              <a:ext uri="{FF2B5EF4-FFF2-40B4-BE49-F238E27FC236}">
                <a16:creationId xmlns:a16="http://schemas.microsoft.com/office/drawing/2014/main" id="{00000000-0008-0000-0400-00009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127</xdr:col>
      <xdr:colOff>142875</xdr:colOff>
      <xdr:row>2</xdr:row>
      <xdr:rowOff>0</xdr:rowOff>
    </xdr:from>
    <xdr:to>
      <xdr:col>132</xdr:col>
      <xdr:colOff>448943</xdr:colOff>
      <xdr:row>3</xdr:row>
      <xdr:rowOff>178435</xdr:rowOff>
    </xdr:to>
    <xdr:grpSp>
      <xdr:nvGrpSpPr>
        <xdr:cNvPr id="156" name="Group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GrpSpPr/>
      </xdr:nvGrpSpPr>
      <xdr:grpSpPr>
        <a:xfrm>
          <a:off x="9932570307" y="460375"/>
          <a:ext cx="3362006" cy="368935"/>
          <a:chOff x="0" y="0"/>
          <a:chExt cx="3666676" cy="392431"/>
        </a:xfrm>
      </xdr:grpSpPr>
      <xdr:pic>
        <xdr:nvPicPr>
          <xdr:cNvPr id="157" name="Picture 156">
            <a:extLst>
              <a:ext uri="{FF2B5EF4-FFF2-40B4-BE49-F238E27FC236}">
                <a16:creationId xmlns:a16="http://schemas.microsoft.com/office/drawing/2014/main" id="{00000000-0008-0000-0400-00009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58" name="Picture 157">
            <a:extLst>
              <a:ext uri="{FF2B5EF4-FFF2-40B4-BE49-F238E27FC236}">
                <a16:creationId xmlns:a16="http://schemas.microsoft.com/office/drawing/2014/main" id="{00000000-0008-0000-0400-00009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59" name="Picture 158">
            <a:extLst>
              <a:ext uri="{FF2B5EF4-FFF2-40B4-BE49-F238E27FC236}">
                <a16:creationId xmlns:a16="http://schemas.microsoft.com/office/drawing/2014/main" id="{00000000-0008-0000-0400-00009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60" name="Picture 159">
            <a:extLst>
              <a:ext uri="{FF2B5EF4-FFF2-40B4-BE49-F238E27FC236}">
                <a16:creationId xmlns:a16="http://schemas.microsoft.com/office/drawing/2014/main" id="{00000000-0008-0000-0400-0000A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61" name="Picture 160">
            <a:extLst>
              <a:ext uri="{FF2B5EF4-FFF2-40B4-BE49-F238E27FC236}">
                <a16:creationId xmlns:a16="http://schemas.microsoft.com/office/drawing/2014/main" id="{00000000-0008-0000-0400-0000A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62" name="Picture 161">
            <a:extLst>
              <a:ext uri="{FF2B5EF4-FFF2-40B4-BE49-F238E27FC236}">
                <a16:creationId xmlns:a16="http://schemas.microsoft.com/office/drawing/2014/main" id="{00000000-0008-0000-0400-0000A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133</xdr:col>
      <xdr:colOff>15875</xdr:colOff>
      <xdr:row>1</xdr:row>
      <xdr:rowOff>127000</xdr:rowOff>
    </xdr:from>
    <xdr:to>
      <xdr:col>138</xdr:col>
      <xdr:colOff>321943</xdr:colOff>
      <xdr:row>3</xdr:row>
      <xdr:rowOff>114935</xdr:rowOff>
    </xdr:to>
    <xdr:grpSp>
      <xdr:nvGrpSpPr>
        <xdr:cNvPr id="163" name="Group 162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GrpSpPr/>
      </xdr:nvGrpSpPr>
      <xdr:grpSpPr>
        <a:xfrm>
          <a:off x="9929030182" y="396875"/>
          <a:ext cx="3362006" cy="368935"/>
          <a:chOff x="0" y="0"/>
          <a:chExt cx="3666676" cy="392431"/>
        </a:xfrm>
      </xdr:grpSpPr>
      <xdr:pic>
        <xdr:nvPicPr>
          <xdr:cNvPr id="164" name="Picture 163">
            <a:extLst>
              <a:ext uri="{FF2B5EF4-FFF2-40B4-BE49-F238E27FC236}">
                <a16:creationId xmlns:a16="http://schemas.microsoft.com/office/drawing/2014/main" id="{00000000-0008-0000-0400-0000A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65" name="Picture 164">
            <a:extLst>
              <a:ext uri="{FF2B5EF4-FFF2-40B4-BE49-F238E27FC236}">
                <a16:creationId xmlns:a16="http://schemas.microsoft.com/office/drawing/2014/main" id="{00000000-0008-0000-0400-0000A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66" name="Picture 165">
            <a:extLst>
              <a:ext uri="{FF2B5EF4-FFF2-40B4-BE49-F238E27FC236}">
                <a16:creationId xmlns:a16="http://schemas.microsoft.com/office/drawing/2014/main" id="{00000000-0008-0000-0400-0000A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67" name="Picture 166">
            <a:extLst>
              <a:ext uri="{FF2B5EF4-FFF2-40B4-BE49-F238E27FC236}">
                <a16:creationId xmlns:a16="http://schemas.microsoft.com/office/drawing/2014/main" id="{00000000-0008-0000-0400-0000A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68" name="Picture 167">
            <a:extLst>
              <a:ext uri="{FF2B5EF4-FFF2-40B4-BE49-F238E27FC236}">
                <a16:creationId xmlns:a16="http://schemas.microsoft.com/office/drawing/2014/main" id="{00000000-0008-0000-0400-0000A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69" name="Picture 168">
            <a:extLst>
              <a:ext uri="{FF2B5EF4-FFF2-40B4-BE49-F238E27FC236}">
                <a16:creationId xmlns:a16="http://schemas.microsoft.com/office/drawing/2014/main" id="{00000000-0008-0000-0400-0000A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139</xdr:col>
      <xdr:colOff>0</xdr:colOff>
      <xdr:row>1</xdr:row>
      <xdr:rowOff>119063</xdr:rowOff>
    </xdr:from>
    <xdr:to>
      <xdr:col>144</xdr:col>
      <xdr:colOff>306068</xdr:colOff>
      <xdr:row>3</xdr:row>
      <xdr:rowOff>106998</xdr:rowOff>
    </xdr:to>
    <xdr:grpSp>
      <xdr:nvGrpSpPr>
        <xdr:cNvPr id="177" name="Group 176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GrpSpPr/>
      </xdr:nvGrpSpPr>
      <xdr:grpSpPr>
        <a:xfrm>
          <a:off x="9925378932" y="388938"/>
          <a:ext cx="3362006" cy="368935"/>
          <a:chOff x="0" y="0"/>
          <a:chExt cx="3666676" cy="392431"/>
        </a:xfrm>
      </xdr:grpSpPr>
      <xdr:pic>
        <xdr:nvPicPr>
          <xdr:cNvPr id="178" name="Picture 177">
            <a:extLst>
              <a:ext uri="{FF2B5EF4-FFF2-40B4-BE49-F238E27FC236}">
                <a16:creationId xmlns:a16="http://schemas.microsoft.com/office/drawing/2014/main" id="{00000000-0008-0000-0400-0000B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79" name="Picture 178">
            <a:extLst>
              <a:ext uri="{FF2B5EF4-FFF2-40B4-BE49-F238E27FC236}">
                <a16:creationId xmlns:a16="http://schemas.microsoft.com/office/drawing/2014/main" id="{00000000-0008-0000-0400-0000B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80" name="Picture 179">
            <a:extLst>
              <a:ext uri="{FF2B5EF4-FFF2-40B4-BE49-F238E27FC236}">
                <a16:creationId xmlns:a16="http://schemas.microsoft.com/office/drawing/2014/main" id="{00000000-0008-0000-0400-0000B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81" name="Picture 180">
            <a:extLst>
              <a:ext uri="{FF2B5EF4-FFF2-40B4-BE49-F238E27FC236}">
                <a16:creationId xmlns:a16="http://schemas.microsoft.com/office/drawing/2014/main" id="{00000000-0008-0000-0400-0000B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82" name="Picture 181">
            <a:extLst>
              <a:ext uri="{FF2B5EF4-FFF2-40B4-BE49-F238E27FC236}">
                <a16:creationId xmlns:a16="http://schemas.microsoft.com/office/drawing/2014/main" id="{00000000-0008-0000-0400-0000B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83" name="Picture 182">
            <a:extLst>
              <a:ext uri="{FF2B5EF4-FFF2-40B4-BE49-F238E27FC236}">
                <a16:creationId xmlns:a16="http://schemas.microsoft.com/office/drawing/2014/main" id="{00000000-0008-0000-0400-0000B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145</xdr:col>
      <xdr:colOff>0</xdr:colOff>
      <xdr:row>2</xdr:row>
      <xdr:rowOff>0</xdr:rowOff>
    </xdr:from>
    <xdr:to>
      <xdr:col>150</xdr:col>
      <xdr:colOff>306068</xdr:colOff>
      <xdr:row>3</xdr:row>
      <xdr:rowOff>178435</xdr:rowOff>
    </xdr:to>
    <xdr:grpSp>
      <xdr:nvGrpSpPr>
        <xdr:cNvPr id="170" name="Group 169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GrpSpPr/>
      </xdr:nvGrpSpPr>
      <xdr:grpSpPr>
        <a:xfrm>
          <a:off x="9921711807" y="460375"/>
          <a:ext cx="3362006" cy="368935"/>
          <a:chOff x="0" y="0"/>
          <a:chExt cx="3666676" cy="392431"/>
        </a:xfrm>
      </xdr:grpSpPr>
      <xdr:pic>
        <xdr:nvPicPr>
          <xdr:cNvPr id="171" name="Picture 170">
            <a:extLst>
              <a:ext uri="{FF2B5EF4-FFF2-40B4-BE49-F238E27FC236}">
                <a16:creationId xmlns:a16="http://schemas.microsoft.com/office/drawing/2014/main" id="{00000000-0008-0000-0400-0000A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72" name="Picture 171">
            <a:extLst>
              <a:ext uri="{FF2B5EF4-FFF2-40B4-BE49-F238E27FC236}">
                <a16:creationId xmlns:a16="http://schemas.microsoft.com/office/drawing/2014/main" id="{00000000-0008-0000-0400-0000A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73" name="Picture 172">
            <a:extLst>
              <a:ext uri="{FF2B5EF4-FFF2-40B4-BE49-F238E27FC236}">
                <a16:creationId xmlns:a16="http://schemas.microsoft.com/office/drawing/2014/main" id="{00000000-0008-0000-0400-0000A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74" name="Picture 173">
            <a:extLst>
              <a:ext uri="{FF2B5EF4-FFF2-40B4-BE49-F238E27FC236}">
                <a16:creationId xmlns:a16="http://schemas.microsoft.com/office/drawing/2014/main" id="{00000000-0008-0000-0400-0000A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75" name="Picture 174">
            <a:extLst>
              <a:ext uri="{FF2B5EF4-FFF2-40B4-BE49-F238E27FC236}">
                <a16:creationId xmlns:a16="http://schemas.microsoft.com/office/drawing/2014/main" id="{00000000-0008-0000-0400-0000A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76" name="Picture 175">
            <a:extLst>
              <a:ext uri="{FF2B5EF4-FFF2-40B4-BE49-F238E27FC236}">
                <a16:creationId xmlns:a16="http://schemas.microsoft.com/office/drawing/2014/main" id="{00000000-0008-0000-0400-0000B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151</xdr:col>
      <xdr:colOff>0</xdr:colOff>
      <xdr:row>2</xdr:row>
      <xdr:rowOff>0</xdr:rowOff>
    </xdr:from>
    <xdr:to>
      <xdr:col>156</xdr:col>
      <xdr:colOff>306068</xdr:colOff>
      <xdr:row>3</xdr:row>
      <xdr:rowOff>178435</xdr:rowOff>
    </xdr:to>
    <xdr:grpSp>
      <xdr:nvGrpSpPr>
        <xdr:cNvPr id="184" name="Group 183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GrpSpPr/>
      </xdr:nvGrpSpPr>
      <xdr:grpSpPr>
        <a:xfrm>
          <a:off x="9918044682" y="460375"/>
          <a:ext cx="3362006" cy="368935"/>
          <a:chOff x="0" y="0"/>
          <a:chExt cx="3666676" cy="392431"/>
        </a:xfrm>
      </xdr:grpSpPr>
      <xdr:pic>
        <xdr:nvPicPr>
          <xdr:cNvPr id="185" name="Picture 184">
            <a:extLst>
              <a:ext uri="{FF2B5EF4-FFF2-40B4-BE49-F238E27FC236}">
                <a16:creationId xmlns:a16="http://schemas.microsoft.com/office/drawing/2014/main" id="{00000000-0008-0000-0400-0000B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86" name="Picture 185">
            <a:extLst>
              <a:ext uri="{FF2B5EF4-FFF2-40B4-BE49-F238E27FC236}">
                <a16:creationId xmlns:a16="http://schemas.microsoft.com/office/drawing/2014/main" id="{00000000-0008-0000-0400-0000B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87" name="Picture 186">
            <a:extLst>
              <a:ext uri="{FF2B5EF4-FFF2-40B4-BE49-F238E27FC236}">
                <a16:creationId xmlns:a16="http://schemas.microsoft.com/office/drawing/2014/main" id="{00000000-0008-0000-0400-0000B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88" name="Picture 187">
            <a:extLst>
              <a:ext uri="{FF2B5EF4-FFF2-40B4-BE49-F238E27FC236}">
                <a16:creationId xmlns:a16="http://schemas.microsoft.com/office/drawing/2014/main" id="{00000000-0008-0000-0400-0000B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89" name="Picture 188">
            <a:extLst>
              <a:ext uri="{FF2B5EF4-FFF2-40B4-BE49-F238E27FC236}">
                <a16:creationId xmlns:a16="http://schemas.microsoft.com/office/drawing/2014/main" id="{00000000-0008-0000-0400-0000B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90" name="Picture 189">
            <a:extLst>
              <a:ext uri="{FF2B5EF4-FFF2-40B4-BE49-F238E27FC236}">
                <a16:creationId xmlns:a16="http://schemas.microsoft.com/office/drawing/2014/main" id="{00000000-0008-0000-0400-0000B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157</xdr:col>
      <xdr:colOff>63500</xdr:colOff>
      <xdr:row>1</xdr:row>
      <xdr:rowOff>142875</xdr:rowOff>
    </xdr:from>
    <xdr:to>
      <xdr:col>162</xdr:col>
      <xdr:colOff>369568</xdr:colOff>
      <xdr:row>3</xdr:row>
      <xdr:rowOff>130810</xdr:rowOff>
    </xdr:to>
    <xdr:grpSp>
      <xdr:nvGrpSpPr>
        <xdr:cNvPr id="191" name="Group 190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GrpSpPr/>
      </xdr:nvGrpSpPr>
      <xdr:grpSpPr>
        <a:xfrm>
          <a:off x="9914314057" y="412750"/>
          <a:ext cx="3362006" cy="368935"/>
          <a:chOff x="0" y="0"/>
          <a:chExt cx="3666676" cy="392431"/>
        </a:xfrm>
      </xdr:grpSpPr>
      <xdr:pic>
        <xdr:nvPicPr>
          <xdr:cNvPr id="192" name="Picture 191">
            <a:extLst>
              <a:ext uri="{FF2B5EF4-FFF2-40B4-BE49-F238E27FC236}">
                <a16:creationId xmlns:a16="http://schemas.microsoft.com/office/drawing/2014/main" id="{00000000-0008-0000-0400-0000C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93" name="Picture 192">
            <a:extLst>
              <a:ext uri="{FF2B5EF4-FFF2-40B4-BE49-F238E27FC236}">
                <a16:creationId xmlns:a16="http://schemas.microsoft.com/office/drawing/2014/main" id="{00000000-0008-0000-0400-0000C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94" name="Picture 193">
            <a:extLst>
              <a:ext uri="{FF2B5EF4-FFF2-40B4-BE49-F238E27FC236}">
                <a16:creationId xmlns:a16="http://schemas.microsoft.com/office/drawing/2014/main" id="{00000000-0008-0000-0400-0000C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95" name="Picture 194">
            <a:extLst>
              <a:ext uri="{FF2B5EF4-FFF2-40B4-BE49-F238E27FC236}">
                <a16:creationId xmlns:a16="http://schemas.microsoft.com/office/drawing/2014/main" id="{00000000-0008-0000-0400-0000C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96" name="Picture 195">
            <a:extLst>
              <a:ext uri="{FF2B5EF4-FFF2-40B4-BE49-F238E27FC236}">
                <a16:creationId xmlns:a16="http://schemas.microsoft.com/office/drawing/2014/main" id="{00000000-0008-0000-0400-0000C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97" name="Picture 196">
            <a:extLst>
              <a:ext uri="{FF2B5EF4-FFF2-40B4-BE49-F238E27FC236}">
                <a16:creationId xmlns:a16="http://schemas.microsoft.com/office/drawing/2014/main" id="{00000000-0008-0000-0400-0000C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163</xdr:col>
      <xdr:colOff>23813</xdr:colOff>
      <xdr:row>1</xdr:row>
      <xdr:rowOff>119063</xdr:rowOff>
    </xdr:from>
    <xdr:to>
      <xdr:col>168</xdr:col>
      <xdr:colOff>500062</xdr:colOff>
      <xdr:row>3</xdr:row>
      <xdr:rowOff>106998</xdr:rowOff>
    </xdr:to>
    <xdr:grpSp>
      <xdr:nvGrpSpPr>
        <xdr:cNvPr id="198" name="Group 19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GrpSpPr/>
      </xdr:nvGrpSpPr>
      <xdr:grpSpPr>
        <a:xfrm>
          <a:off x="9910516438" y="388938"/>
          <a:ext cx="3532187" cy="368935"/>
          <a:chOff x="0" y="0"/>
          <a:chExt cx="3666676" cy="392431"/>
        </a:xfrm>
      </xdr:grpSpPr>
      <xdr:pic>
        <xdr:nvPicPr>
          <xdr:cNvPr id="199" name="Picture 198">
            <a:extLst>
              <a:ext uri="{FF2B5EF4-FFF2-40B4-BE49-F238E27FC236}">
                <a16:creationId xmlns:a16="http://schemas.microsoft.com/office/drawing/2014/main" id="{00000000-0008-0000-0400-0000C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00" name="Picture 199">
            <a:extLst>
              <a:ext uri="{FF2B5EF4-FFF2-40B4-BE49-F238E27FC236}">
                <a16:creationId xmlns:a16="http://schemas.microsoft.com/office/drawing/2014/main" id="{00000000-0008-0000-0400-0000C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01" name="Picture 200">
            <a:extLst>
              <a:ext uri="{FF2B5EF4-FFF2-40B4-BE49-F238E27FC236}">
                <a16:creationId xmlns:a16="http://schemas.microsoft.com/office/drawing/2014/main" id="{00000000-0008-0000-0400-0000C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02" name="Picture 201">
            <a:extLst>
              <a:ext uri="{FF2B5EF4-FFF2-40B4-BE49-F238E27FC236}">
                <a16:creationId xmlns:a16="http://schemas.microsoft.com/office/drawing/2014/main" id="{00000000-0008-0000-0400-0000C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03" name="Picture 202">
            <a:extLst>
              <a:ext uri="{FF2B5EF4-FFF2-40B4-BE49-F238E27FC236}">
                <a16:creationId xmlns:a16="http://schemas.microsoft.com/office/drawing/2014/main" id="{00000000-0008-0000-0400-0000C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04" name="Picture 203">
            <a:extLst>
              <a:ext uri="{FF2B5EF4-FFF2-40B4-BE49-F238E27FC236}">
                <a16:creationId xmlns:a16="http://schemas.microsoft.com/office/drawing/2014/main" id="{00000000-0008-0000-0400-0000C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169</xdr:col>
      <xdr:colOff>0</xdr:colOff>
      <xdr:row>2</xdr:row>
      <xdr:rowOff>0</xdr:rowOff>
    </xdr:from>
    <xdr:to>
      <xdr:col>174</xdr:col>
      <xdr:colOff>306068</xdr:colOff>
      <xdr:row>3</xdr:row>
      <xdr:rowOff>178435</xdr:rowOff>
    </xdr:to>
    <xdr:grpSp>
      <xdr:nvGrpSpPr>
        <xdr:cNvPr id="205" name="Group 204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GrpSpPr/>
      </xdr:nvGrpSpPr>
      <xdr:grpSpPr>
        <a:xfrm>
          <a:off x="9907043307" y="460375"/>
          <a:ext cx="3362006" cy="368935"/>
          <a:chOff x="0" y="0"/>
          <a:chExt cx="3666676" cy="392431"/>
        </a:xfrm>
      </xdr:grpSpPr>
      <xdr:pic>
        <xdr:nvPicPr>
          <xdr:cNvPr id="206" name="Picture 205">
            <a:extLst>
              <a:ext uri="{FF2B5EF4-FFF2-40B4-BE49-F238E27FC236}">
                <a16:creationId xmlns:a16="http://schemas.microsoft.com/office/drawing/2014/main" id="{00000000-0008-0000-0400-0000C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07" name="Picture 206">
            <a:extLst>
              <a:ext uri="{FF2B5EF4-FFF2-40B4-BE49-F238E27FC236}">
                <a16:creationId xmlns:a16="http://schemas.microsoft.com/office/drawing/2014/main" id="{00000000-0008-0000-0400-0000C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08" name="Picture 207">
            <a:extLst>
              <a:ext uri="{FF2B5EF4-FFF2-40B4-BE49-F238E27FC236}">
                <a16:creationId xmlns:a16="http://schemas.microsoft.com/office/drawing/2014/main" id="{00000000-0008-0000-0400-0000D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09" name="Picture 208">
            <a:extLst>
              <a:ext uri="{FF2B5EF4-FFF2-40B4-BE49-F238E27FC236}">
                <a16:creationId xmlns:a16="http://schemas.microsoft.com/office/drawing/2014/main" id="{00000000-0008-0000-0400-0000D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10" name="Picture 209">
            <a:extLst>
              <a:ext uri="{FF2B5EF4-FFF2-40B4-BE49-F238E27FC236}">
                <a16:creationId xmlns:a16="http://schemas.microsoft.com/office/drawing/2014/main" id="{00000000-0008-0000-0400-0000D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11" name="Picture 210">
            <a:extLst>
              <a:ext uri="{FF2B5EF4-FFF2-40B4-BE49-F238E27FC236}">
                <a16:creationId xmlns:a16="http://schemas.microsoft.com/office/drawing/2014/main" id="{00000000-0008-0000-0400-0000D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175</xdr:col>
      <xdr:colOff>23813</xdr:colOff>
      <xdr:row>1</xdr:row>
      <xdr:rowOff>150813</xdr:rowOff>
    </xdr:from>
    <xdr:to>
      <xdr:col>180</xdr:col>
      <xdr:colOff>329881</xdr:colOff>
      <xdr:row>3</xdr:row>
      <xdr:rowOff>138748</xdr:rowOff>
    </xdr:to>
    <xdr:grpSp>
      <xdr:nvGrpSpPr>
        <xdr:cNvPr id="212" name="Group 211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GrpSpPr/>
      </xdr:nvGrpSpPr>
      <xdr:grpSpPr>
        <a:xfrm>
          <a:off x="9903352369" y="420688"/>
          <a:ext cx="3362006" cy="368935"/>
          <a:chOff x="0" y="0"/>
          <a:chExt cx="3666676" cy="392431"/>
        </a:xfrm>
      </xdr:grpSpPr>
      <xdr:pic>
        <xdr:nvPicPr>
          <xdr:cNvPr id="213" name="Picture 212">
            <a:extLst>
              <a:ext uri="{FF2B5EF4-FFF2-40B4-BE49-F238E27FC236}">
                <a16:creationId xmlns:a16="http://schemas.microsoft.com/office/drawing/2014/main" id="{00000000-0008-0000-0400-0000D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14" name="Picture 213">
            <a:extLst>
              <a:ext uri="{FF2B5EF4-FFF2-40B4-BE49-F238E27FC236}">
                <a16:creationId xmlns:a16="http://schemas.microsoft.com/office/drawing/2014/main" id="{00000000-0008-0000-0400-0000D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15" name="Picture 214">
            <a:extLst>
              <a:ext uri="{FF2B5EF4-FFF2-40B4-BE49-F238E27FC236}">
                <a16:creationId xmlns:a16="http://schemas.microsoft.com/office/drawing/2014/main" id="{00000000-0008-0000-0400-0000D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16" name="Picture 215">
            <a:extLst>
              <a:ext uri="{FF2B5EF4-FFF2-40B4-BE49-F238E27FC236}">
                <a16:creationId xmlns:a16="http://schemas.microsoft.com/office/drawing/2014/main" id="{00000000-0008-0000-0400-0000D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17" name="Picture 216">
            <a:extLst>
              <a:ext uri="{FF2B5EF4-FFF2-40B4-BE49-F238E27FC236}">
                <a16:creationId xmlns:a16="http://schemas.microsoft.com/office/drawing/2014/main" id="{00000000-0008-0000-0400-0000D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18" name="Picture 217">
            <a:extLst>
              <a:ext uri="{FF2B5EF4-FFF2-40B4-BE49-F238E27FC236}">
                <a16:creationId xmlns:a16="http://schemas.microsoft.com/office/drawing/2014/main" id="{00000000-0008-0000-0400-0000D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181</xdr:col>
      <xdr:colOff>0</xdr:colOff>
      <xdr:row>2</xdr:row>
      <xdr:rowOff>0</xdr:rowOff>
    </xdr:from>
    <xdr:to>
      <xdr:col>186</xdr:col>
      <xdr:colOff>306068</xdr:colOff>
      <xdr:row>3</xdr:row>
      <xdr:rowOff>178435</xdr:rowOff>
    </xdr:to>
    <xdr:grpSp>
      <xdr:nvGrpSpPr>
        <xdr:cNvPr id="142" name="Group 141">
          <a:extLst>
            <a:ext uri="{FF2B5EF4-FFF2-40B4-BE49-F238E27FC236}">
              <a16:creationId xmlns:a16="http://schemas.microsoft.com/office/drawing/2014/main" id="{D4CA550A-91A7-4BCF-AA18-0144F8717F3D}"/>
            </a:ext>
          </a:extLst>
        </xdr:cNvPr>
        <xdr:cNvGrpSpPr/>
      </xdr:nvGrpSpPr>
      <xdr:grpSpPr>
        <a:xfrm>
          <a:off x="9899709057" y="460375"/>
          <a:ext cx="3362006" cy="368935"/>
          <a:chOff x="0" y="0"/>
          <a:chExt cx="3666676" cy="392431"/>
        </a:xfrm>
      </xdr:grpSpPr>
      <xdr:pic>
        <xdr:nvPicPr>
          <xdr:cNvPr id="143" name="Picture 142">
            <a:extLst>
              <a:ext uri="{FF2B5EF4-FFF2-40B4-BE49-F238E27FC236}">
                <a16:creationId xmlns:a16="http://schemas.microsoft.com/office/drawing/2014/main" id="{C5794593-4F67-C20D-2275-09B3761AC5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44" name="Picture 143">
            <a:extLst>
              <a:ext uri="{FF2B5EF4-FFF2-40B4-BE49-F238E27FC236}">
                <a16:creationId xmlns:a16="http://schemas.microsoft.com/office/drawing/2014/main" id="{93CBFD28-6970-BC3F-5353-84E0948920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45" name="Picture 144">
            <a:extLst>
              <a:ext uri="{FF2B5EF4-FFF2-40B4-BE49-F238E27FC236}">
                <a16:creationId xmlns:a16="http://schemas.microsoft.com/office/drawing/2014/main" id="{59E6B02E-D0AD-6BA0-FCAE-A2936890D7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46" name="Picture 145">
            <a:extLst>
              <a:ext uri="{FF2B5EF4-FFF2-40B4-BE49-F238E27FC236}">
                <a16:creationId xmlns:a16="http://schemas.microsoft.com/office/drawing/2014/main" id="{2099F1E2-BFFE-AF41-E4F8-D54E3F9CD1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47" name="Picture 146">
            <a:extLst>
              <a:ext uri="{FF2B5EF4-FFF2-40B4-BE49-F238E27FC236}">
                <a16:creationId xmlns:a16="http://schemas.microsoft.com/office/drawing/2014/main" id="{A37B7544-2CE2-DD19-7148-1FE90C153F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48" name="Picture 147">
            <a:extLst>
              <a:ext uri="{FF2B5EF4-FFF2-40B4-BE49-F238E27FC236}">
                <a16:creationId xmlns:a16="http://schemas.microsoft.com/office/drawing/2014/main" id="{A9317FCA-8467-5CE3-04B3-3E792CB3EF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187</xdr:col>
      <xdr:colOff>0</xdr:colOff>
      <xdr:row>2</xdr:row>
      <xdr:rowOff>0</xdr:rowOff>
    </xdr:from>
    <xdr:to>
      <xdr:col>192</xdr:col>
      <xdr:colOff>306068</xdr:colOff>
      <xdr:row>3</xdr:row>
      <xdr:rowOff>178435</xdr:rowOff>
    </xdr:to>
    <xdr:grpSp>
      <xdr:nvGrpSpPr>
        <xdr:cNvPr id="219" name="Group 218">
          <a:extLst>
            <a:ext uri="{FF2B5EF4-FFF2-40B4-BE49-F238E27FC236}">
              <a16:creationId xmlns:a16="http://schemas.microsoft.com/office/drawing/2014/main" id="{D62B08F6-0E0F-4FEA-95FA-B1185114C00D}"/>
            </a:ext>
          </a:extLst>
        </xdr:cNvPr>
        <xdr:cNvGrpSpPr/>
      </xdr:nvGrpSpPr>
      <xdr:grpSpPr>
        <a:xfrm>
          <a:off x="9896041932" y="460375"/>
          <a:ext cx="3362006" cy="368935"/>
          <a:chOff x="0" y="0"/>
          <a:chExt cx="3666676" cy="392431"/>
        </a:xfrm>
      </xdr:grpSpPr>
      <xdr:pic>
        <xdr:nvPicPr>
          <xdr:cNvPr id="220" name="Picture 219">
            <a:extLst>
              <a:ext uri="{FF2B5EF4-FFF2-40B4-BE49-F238E27FC236}">
                <a16:creationId xmlns:a16="http://schemas.microsoft.com/office/drawing/2014/main" id="{D421FD77-369B-786A-5C51-6905A10B43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21" name="Picture 220">
            <a:extLst>
              <a:ext uri="{FF2B5EF4-FFF2-40B4-BE49-F238E27FC236}">
                <a16:creationId xmlns:a16="http://schemas.microsoft.com/office/drawing/2014/main" id="{C9CB6574-DC65-3882-0761-14E525F931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22" name="Picture 221">
            <a:extLst>
              <a:ext uri="{FF2B5EF4-FFF2-40B4-BE49-F238E27FC236}">
                <a16:creationId xmlns:a16="http://schemas.microsoft.com/office/drawing/2014/main" id="{1B7F40E4-8F2F-397F-E0CA-3DF865AE4C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23" name="Picture 222">
            <a:extLst>
              <a:ext uri="{FF2B5EF4-FFF2-40B4-BE49-F238E27FC236}">
                <a16:creationId xmlns:a16="http://schemas.microsoft.com/office/drawing/2014/main" id="{B6AC8334-F411-1D8F-7D1F-5C35F1DE93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24" name="Picture 223">
            <a:extLst>
              <a:ext uri="{FF2B5EF4-FFF2-40B4-BE49-F238E27FC236}">
                <a16:creationId xmlns:a16="http://schemas.microsoft.com/office/drawing/2014/main" id="{DECBD500-6E43-CA1F-728E-2A8F7850F9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25" name="Picture 224">
            <a:extLst>
              <a:ext uri="{FF2B5EF4-FFF2-40B4-BE49-F238E27FC236}">
                <a16:creationId xmlns:a16="http://schemas.microsoft.com/office/drawing/2014/main" id="{3551CA6B-7475-C8D7-A130-EAE6AAA2FF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193</xdr:col>
      <xdr:colOff>0</xdr:colOff>
      <xdr:row>2</xdr:row>
      <xdr:rowOff>0</xdr:rowOff>
    </xdr:from>
    <xdr:to>
      <xdr:col>198</xdr:col>
      <xdr:colOff>306068</xdr:colOff>
      <xdr:row>3</xdr:row>
      <xdr:rowOff>178435</xdr:rowOff>
    </xdr:to>
    <xdr:grpSp>
      <xdr:nvGrpSpPr>
        <xdr:cNvPr id="226" name="Group 225">
          <a:extLst>
            <a:ext uri="{FF2B5EF4-FFF2-40B4-BE49-F238E27FC236}">
              <a16:creationId xmlns:a16="http://schemas.microsoft.com/office/drawing/2014/main" id="{220CDC31-9111-4095-AEB4-39A062F053B3}"/>
            </a:ext>
          </a:extLst>
        </xdr:cNvPr>
        <xdr:cNvGrpSpPr/>
      </xdr:nvGrpSpPr>
      <xdr:grpSpPr>
        <a:xfrm>
          <a:off x="9892374807" y="460375"/>
          <a:ext cx="3362006" cy="368935"/>
          <a:chOff x="0" y="0"/>
          <a:chExt cx="3666676" cy="392431"/>
        </a:xfrm>
      </xdr:grpSpPr>
      <xdr:pic>
        <xdr:nvPicPr>
          <xdr:cNvPr id="227" name="Picture 226">
            <a:extLst>
              <a:ext uri="{FF2B5EF4-FFF2-40B4-BE49-F238E27FC236}">
                <a16:creationId xmlns:a16="http://schemas.microsoft.com/office/drawing/2014/main" id="{C6F2F4CE-BC05-E5F5-2D8A-17CA9136FB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28" name="Picture 227">
            <a:extLst>
              <a:ext uri="{FF2B5EF4-FFF2-40B4-BE49-F238E27FC236}">
                <a16:creationId xmlns:a16="http://schemas.microsoft.com/office/drawing/2014/main" id="{3D02252D-DABC-CA2B-E6D7-6271F0419B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29" name="Picture 228">
            <a:extLst>
              <a:ext uri="{FF2B5EF4-FFF2-40B4-BE49-F238E27FC236}">
                <a16:creationId xmlns:a16="http://schemas.microsoft.com/office/drawing/2014/main" id="{EBB69C6A-02FA-D10C-846D-5AE75C7F10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30" name="Picture 229">
            <a:extLst>
              <a:ext uri="{FF2B5EF4-FFF2-40B4-BE49-F238E27FC236}">
                <a16:creationId xmlns:a16="http://schemas.microsoft.com/office/drawing/2014/main" id="{20176865-7A47-AAF7-DD1E-B5FF1768F1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31" name="Picture 230">
            <a:extLst>
              <a:ext uri="{FF2B5EF4-FFF2-40B4-BE49-F238E27FC236}">
                <a16:creationId xmlns:a16="http://schemas.microsoft.com/office/drawing/2014/main" id="{CFD91610-0073-A108-568D-52F55988C2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32" name="Picture 231">
            <a:extLst>
              <a:ext uri="{FF2B5EF4-FFF2-40B4-BE49-F238E27FC236}">
                <a16:creationId xmlns:a16="http://schemas.microsoft.com/office/drawing/2014/main" id="{6F7732B0-58E0-3DDB-3DB1-978D73A3CD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199</xdr:col>
      <xdr:colOff>0</xdr:colOff>
      <xdr:row>2</xdr:row>
      <xdr:rowOff>0</xdr:rowOff>
    </xdr:from>
    <xdr:to>
      <xdr:col>204</xdr:col>
      <xdr:colOff>306068</xdr:colOff>
      <xdr:row>3</xdr:row>
      <xdr:rowOff>178435</xdr:rowOff>
    </xdr:to>
    <xdr:grpSp>
      <xdr:nvGrpSpPr>
        <xdr:cNvPr id="240" name="Group 239">
          <a:extLst>
            <a:ext uri="{FF2B5EF4-FFF2-40B4-BE49-F238E27FC236}">
              <a16:creationId xmlns:a16="http://schemas.microsoft.com/office/drawing/2014/main" id="{8F4FF647-26AE-460B-89C0-8463F3AF777F}"/>
            </a:ext>
          </a:extLst>
        </xdr:cNvPr>
        <xdr:cNvGrpSpPr/>
      </xdr:nvGrpSpPr>
      <xdr:grpSpPr>
        <a:xfrm>
          <a:off x="9888707682" y="460375"/>
          <a:ext cx="3362006" cy="368935"/>
          <a:chOff x="0" y="0"/>
          <a:chExt cx="3666676" cy="392431"/>
        </a:xfrm>
      </xdr:grpSpPr>
      <xdr:pic>
        <xdr:nvPicPr>
          <xdr:cNvPr id="241" name="Picture 240">
            <a:extLst>
              <a:ext uri="{FF2B5EF4-FFF2-40B4-BE49-F238E27FC236}">
                <a16:creationId xmlns:a16="http://schemas.microsoft.com/office/drawing/2014/main" id="{FBB2C76B-25A4-3136-7CC8-DE18F1ED83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42" name="Picture 241">
            <a:extLst>
              <a:ext uri="{FF2B5EF4-FFF2-40B4-BE49-F238E27FC236}">
                <a16:creationId xmlns:a16="http://schemas.microsoft.com/office/drawing/2014/main" id="{8AB85550-D20F-19ED-BC74-4F3458C8F9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43" name="Picture 242">
            <a:extLst>
              <a:ext uri="{FF2B5EF4-FFF2-40B4-BE49-F238E27FC236}">
                <a16:creationId xmlns:a16="http://schemas.microsoft.com/office/drawing/2014/main" id="{F46D6143-1F34-24E7-39E4-BD9A49F58A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44" name="Picture 243">
            <a:extLst>
              <a:ext uri="{FF2B5EF4-FFF2-40B4-BE49-F238E27FC236}">
                <a16:creationId xmlns:a16="http://schemas.microsoft.com/office/drawing/2014/main" id="{48D890B2-CC2E-C804-B862-88A613BA6C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45" name="Picture 244">
            <a:extLst>
              <a:ext uri="{FF2B5EF4-FFF2-40B4-BE49-F238E27FC236}">
                <a16:creationId xmlns:a16="http://schemas.microsoft.com/office/drawing/2014/main" id="{BB66F42E-7CE2-F2A7-BB03-D05440ADF7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46" name="Picture 245">
            <a:extLst>
              <a:ext uri="{FF2B5EF4-FFF2-40B4-BE49-F238E27FC236}">
                <a16:creationId xmlns:a16="http://schemas.microsoft.com/office/drawing/2014/main" id="{D03FD0BA-2AC7-FF35-5079-BB0CEB4BD6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205</xdr:col>
      <xdr:colOff>0</xdr:colOff>
      <xdr:row>2</xdr:row>
      <xdr:rowOff>0</xdr:rowOff>
    </xdr:from>
    <xdr:to>
      <xdr:col>210</xdr:col>
      <xdr:colOff>306068</xdr:colOff>
      <xdr:row>3</xdr:row>
      <xdr:rowOff>178435</xdr:rowOff>
    </xdr:to>
    <xdr:grpSp>
      <xdr:nvGrpSpPr>
        <xdr:cNvPr id="233" name="Group 232">
          <a:extLst>
            <a:ext uri="{FF2B5EF4-FFF2-40B4-BE49-F238E27FC236}">
              <a16:creationId xmlns:a16="http://schemas.microsoft.com/office/drawing/2014/main" id="{48ED5FC9-3F2F-42C1-A7F7-4048026BB0D9}"/>
            </a:ext>
          </a:extLst>
        </xdr:cNvPr>
        <xdr:cNvGrpSpPr/>
      </xdr:nvGrpSpPr>
      <xdr:grpSpPr>
        <a:xfrm>
          <a:off x="9885040557" y="460375"/>
          <a:ext cx="3362006" cy="368935"/>
          <a:chOff x="0" y="0"/>
          <a:chExt cx="3666676" cy="392431"/>
        </a:xfrm>
      </xdr:grpSpPr>
      <xdr:pic>
        <xdr:nvPicPr>
          <xdr:cNvPr id="234" name="Picture 233">
            <a:extLst>
              <a:ext uri="{FF2B5EF4-FFF2-40B4-BE49-F238E27FC236}">
                <a16:creationId xmlns:a16="http://schemas.microsoft.com/office/drawing/2014/main" id="{E270269E-5FFA-6B20-6607-F96BCCFFC0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35" name="Picture 234">
            <a:extLst>
              <a:ext uri="{FF2B5EF4-FFF2-40B4-BE49-F238E27FC236}">
                <a16:creationId xmlns:a16="http://schemas.microsoft.com/office/drawing/2014/main" id="{F49EFE9D-FE30-37B3-7CF9-5FB93E3C07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36" name="Picture 235">
            <a:extLst>
              <a:ext uri="{FF2B5EF4-FFF2-40B4-BE49-F238E27FC236}">
                <a16:creationId xmlns:a16="http://schemas.microsoft.com/office/drawing/2014/main" id="{164D0A6D-035D-F550-5FAB-E689DDDE83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37" name="Picture 236">
            <a:extLst>
              <a:ext uri="{FF2B5EF4-FFF2-40B4-BE49-F238E27FC236}">
                <a16:creationId xmlns:a16="http://schemas.microsoft.com/office/drawing/2014/main" id="{CE11957A-4EF8-944D-24A7-AC1492CB33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38" name="Picture 237">
            <a:extLst>
              <a:ext uri="{FF2B5EF4-FFF2-40B4-BE49-F238E27FC236}">
                <a16:creationId xmlns:a16="http://schemas.microsoft.com/office/drawing/2014/main" id="{C69C8A34-B9FA-D23F-7789-F6EAB0987C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39" name="Picture 238">
            <a:extLst>
              <a:ext uri="{FF2B5EF4-FFF2-40B4-BE49-F238E27FC236}">
                <a16:creationId xmlns:a16="http://schemas.microsoft.com/office/drawing/2014/main" id="{48E29C0D-1031-8CAC-64B2-6EF14920AA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211</xdr:col>
      <xdr:colOff>0</xdr:colOff>
      <xdr:row>2</xdr:row>
      <xdr:rowOff>0</xdr:rowOff>
    </xdr:from>
    <xdr:to>
      <xdr:col>216</xdr:col>
      <xdr:colOff>306068</xdr:colOff>
      <xdr:row>3</xdr:row>
      <xdr:rowOff>178435</xdr:rowOff>
    </xdr:to>
    <xdr:grpSp>
      <xdr:nvGrpSpPr>
        <xdr:cNvPr id="247" name="Group 246">
          <a:extLst>
            <a:ext uri="{FF2B5EF4-FFF2-40B4-BE49-F238E27FC236}">
              <a16:creationId xmlns:a16="http://schemas.microsoft.com/office/drawing/2014/main" id="{088F6C1C-3D37-4416-A0BB-02B54EB6CAB0}"/>
            </a:ext>
          </a:extLst>
        </xdr:cNvPr>
        <xdr:cNvGrpSpPr/>
      </xdr:nvGrpSpPr>
      <xdr:grpSpPr>
        <a:xfrm>
          <a:off x="9881373432" y="460375"/>
          <a:ext cx="3362006" cy="368935"/>
          <a:chOff x="0" y="0"/>
          <a:chExt cx="3666676" cy="392431"/>
        </a:xfrm>
      </xdr:grpSpPr>
      <xdr:pic>
        <xdr:nvPicPr>
          <xdr:cNvPr id="248" name="Picture 247">
            <a:extLst>
              <a:ext uri="{FF2B5EF4-FFF2-40B4-BE49-F238E27FC236}">
                <a16:creationId xmlns:a16="http://schemas.microsoft.com/office/drawing/2014/main" id="{6FC2553F-2FE9-E3BB-BC76-C35099B0E4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49" name="Picture 248">
            <a:extLst>
              <a:ext uri="{FF2B5EF4-FFF2-40B4-BE49-F238E27FC236}">
                <a16:creationId xmlns:a16="http://schemas.microsoft.com/office/drawing/2014/main" id="{50AB3857-E59E-7743-CE7F-F8640E4229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50" name="Picture 249">
            <a:extLst>
              <a:ext uri="{FF2B5EF4-FFF2-40B4-BE49-F238E27FC236}">
                <a16:creationId xmlns:a16="http://schemas.microsoft.com/office/drawing/2014/main" id="{03C77BE3-FB66-5FED-A089-109AAD1E30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51" name="Picture 250">
            <a:extLst>
              <a:ext uri="{FF2B5EF4-FFF2-40B4-BE49-F238E27FC236}">
                <a16:creationId xmlns:a16="http://schemas.microsoft.com/office/drawing/2014/main" id="{0F4164C2-863D-C2C2-68C8-B21936A559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52" name="Picture 251">
            <a:extLst>
              <a:ext uri="{FF2B5EF4-FFF2-40B4-BE49-F238E27FC236}">
                <a16:creationId xmlns:a16="http://schemas.microsoft.com/office/drawing/2014/main" id="{5A637AF4-C255-D979-3271-5D1166F071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53" name="Picture 252">
            <a:extLst>
              <a:ext uri="{FF2B5EF4-FFF2-40B4-BE49-F238E27FC236}">
                <a16:creationId xmlns:a16="http://schemas.microsoft.com/office/drawing/2014/main" id="{A069DFCC-3796-4E4A-A263-F66F316BF4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</xdr:row>
      <xdr:rowOff>0</xdr:rowOff>
    </xdr:from>
    <xdr:to>
      <xdr:col>6</xdr:col>
      <xdr:colOff>761999</xdr:colOff>
      <xdr:row>3</xdr:row>
      <xdr:rowOff>178435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 flipH="1">
          <a:off x="3571874" y="457200"/>
          <a:ext cx="5095875" cy="368935"/>
          <a:chOff x="0" y="0"/>
          <a:chExt cx="3666676" cy="39243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142874</xdr:colOff>
      <xdr:row>2</xdr:row>
      <xdr:rowOff>0</xdr:rowOff>
    </xdr:from>
    <xdr:to>
      <xdr:col>12</xdr:col>
      <xdr:colOff>723899</xdr:colOff>
      <xdr:row>3</xdr:row>
      <xdr:rowOff>178435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pSpPr/>
      </xdr:nvGrpSpPr>
      <xdr:grpSpPr>
        <a:xfrm flipH="1">
          <a:off x="8943974" y="457200"/>
          <a:ext cx="5057775" cy="368935"/>
          <a:chOff x="0" y="0"/>
          <a:chExt cx="3666676" cy="392431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142874</xdr:colOff>
      <xdr:row>2</xdr:row>
      <xdr:rowOff>0</xdr:rowOff>
    </xdr:from>
    <xdr:to>
      <xdr:col>24</xdr:col>
      <xdr:colOff>723899</xdr:colOff>
      <xdr:row>3</xdr:row>
      <xdr:rowOff>178435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pSpPr/>
      </xdr:nvGrpSpPr>
      <xdr:grpSpPr>
        <a:xfrm flipH="1">
          <a:off x="19688174" y="457200"/>
          <a:ext cx="5057775" cy="368935"/>
          <a:chOff x="0" y="0"/>
          <a:chExt cx="3666676" cy="392431"/>
        </a:xfrm>
      </xdr:grpSpPr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25</xdr:col>
      <xdr:colOff>142875</xdr:colOff>
      <xdr:row>2</xdr:row>
      <xdr:rowOff>0</xdr:rowOff>
    </xdr:from>
    <xdr:to>
      <xdr:col>30</xdr:col>
      <xdr:colOff>752475</xdr:colOff>
      <xdr:row>3</xdr:row>
      <xdr:rowOff>178435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pSpPr/>
      </xdr:nvGrpSpPr>
      <xdr:grpSpPr>
        <a:xfrm flipH="1">
          <a:off x="25060275" y="457200"/>
          <a:ext cx="5086350" cy="368935"/>
          <a:chOff x="0" y="0"/>
          <a:chExt cx="3666676" cy="392431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31</xdr:col>
      <xdr:colOff>142875</xdr:colOff>
      <xdr:row>2</xdr:row>
      <xdr:rowOff>0</xdr:rowOff>
    </xdr:from>
    <xdr:to>
      <xdr:col>36</xdr:col>
      <xdr:colOff>714375</xdr:colOff>
      <xdr:row>3</xdr:row>
      <xdr:rowOff>178435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 flipH="1">
          <a:off x="30432375" y="457200"/>
          <a:ext cx="5048250" cy="368935"/>
          <a:chOff x="0" y="0"/>
          <a:chExt cx="3666676" cy="392431"/>
        </a:xfrm>
      </xdr:grpSpPr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00000000-0008-0000-05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00000000-0008-0000-05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37</xdr:col>
      <xdr:colOff>142875</xdr:colOff>
      <xdr:row>2</xdr:row>
      <xdr:rowOff>0</xdr:rowOff>
    </xdr:from>
    <xdr:to>
      <xdr:col>42</xdr:col>
      <xdr:colOff>714375</xdr:colOff>
      <xdr:row>3</xdr:row>
      <xdr:rowOff>178435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GrpSpPr/>
      </xdr:nvGrpSpPr>
      <xdr:grpSpPr>
        <a:xfrm flipH="1">
          <a:off x="35804475" y="457200"/>
          <a:ext cx="5048250" cy="368935"/>
          <a:chOff x="0" y="0"/>
          <a:chExt cx="3666676" cy="392431"/>
        </a:xfrm>
      </xdr:grpSpPr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00000000-0008-0000-05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00000000-0008-0000-05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00000000-0008-0000-05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00000000-0008-0000-05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00000000-0008-0000-0500-00002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00000000-0008-0000-05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43</xdr:col>
      <xdr:colOff>142875</xdr:colOff>
      <xdr:row>2</xdr:row>
      <xdr:rowOff>0</xdr:rowOff>
    </xdr:from>
    <xdr:to>
      <xdr:col>48</xdr:col>
      <xdr:colOff>714375</xdr:colOff>
      <xdr:row>3</xdr:row>
      <xdr:rowOff>178435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GrpSpPr/>
      </xdr:nvGrpSpPr>
      <xdr:grpSpPr>
        <a:xfrm flipH="1">
          <a:off x="41176575" y="457200"/>
          <a:ext cx="5048250" cy="368935"/>
          <a:chOff x="0" y="0"/>
          <a:chExt cx="3666676" cy="392431"/>
        </a:xfrm>
      </xdr:grpSpPr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00000000-0008-0000-05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00000000-0008-0000-05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00000000-0008-0000-05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00000000-0008-0000-05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00000000-0008-0000-05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50" name="Picture 49">
            <a:extLst>
              <a:ext uri="{FF2B5EF4-FFF2-40B4-BE49-F238E27FC236}">
                <a16:creationId xmlns:a16="http://schemas.microsoft.com/office/drawing/2014/main" id="{00000000-0008-0000-05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49</xdr:col>
      <xdr:colOff>142875</xdr:colOff>
      <xdr:row>2</xdr:row>
      <xdr:rowOff>0</xdr:rowOff>
    </xdr:from>
    <xdr:to>
      <xdr:col>54</xdr:col>
      <xdr:colOff>733425</xdr:colOff>
      <xdr:row>3</xdr:row>
      <xdr:rowOff>178435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GrpSpPr/>
      </xdr:nvGrpSpPr>
      <xdr:grpSpPr>
        <a:xfrm flipH="1">
          <a:off x="46548675" y="457200"/>
          <a:ext cx="5067300" cy="368935"/>
          <a:chOff x="0" y="0"/>
          <a:chExt cx="3666676" cy="392431"/>
        </a:xfrm>
      </xdr:grpSpPr>
      <xdr:pic>
        <xdr:nvPicPr>
          <xdr:cNvPr id="52" name="Picture 51">
            <a:extLst>
              <a:ext uri="{FF2B5EF4-FFF2-40B4-BE49-F238E27FC236}">
                <a16:creationId xmlns:a16="http://schemas.microsoft.com/office/drawing/2014/main" id="{00000000-0008-0000-05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53" name="Picture 52">
            <a:extLst>
              <a:ext uri="{FF2B5EF4-FFF2-40B4-BE49-F238E27FC236}">
                <a16:creationId xmlns:a16="http://schemas.microsoft.com/office/drawing/2014/main" id="{00000000-0008-0000-05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54" name="Picture 53">
            <a:extLst>
              <a:ext uri="{FF2B5EF4-FFF2-40B4-BE49-F238E27FC236}">
                <a16:creationId xmlns:a16="http://schemas.microsoft.com/office/drawing/2014/main" id="{00000000-0008-0000-05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00000000-0008-0000-05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56" name="Picture 55">
            <a:extLst>
              <a:ext uri="{FF2B5EF4-FFF2-40B4-BE49-F238E27FC236}">
                <a16:creationId xmlns:a16="http://schemas.microsoft.com/office/drawing/2014/main" id="{00000000-0008-0000-05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00000000-0008-0000-05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55</xdr:col>
      <xdr:colOff>142875</xdr:colOff>
      <xdr:row>2</xdr:row>
      <xdr:rowOff>0</xdr:rowOff>
    </xdr:from>
    <xdr:to>
      <xdr:col>60</xdr:col>
      <xdr:colOff>733425</xdr:colOff>
      <xdr:row>3</xdr:row>
      <xdr:rowOff>178435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GrpSpPr/>
      </xdr:nvGrpSpPr>
      <xdr:grpSpPr>
        <a:xfrm flipH="1">
          <a:off x="51920775" y="457200"/>
          <a:ext cx="5067300" cy="368935"/>
          <a:chOff x="0" y="0"/>
          <a:chExt cx="3666676" cy="392431"/>
        </a:xfrm>
      </xdr:grpSpPr>
      <xdr:pic>
        <xdr:nvPicPr>
          <xdr:cNvPr id="59" name="Picture 58">
            <a:extLst>
              <a:ext uri="{FF2B5EF4-FFF2-40B4-BE49-F238E27FC236}">
                <a16:creationId xmlns:a16="http://schemas.microsoft.com/office/drawing/2014/main" id="{00000000-0008-0000-05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00000000-0008-0000-05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61" name="Picture 60">
            <a:extLst>
              <a:ext uri="{FF2B5EF4-FFF2-40B4-BE49-F238E27FC236}">
                <a16:creationId xmlns:a16="http://schemas.microsoft.com/office/drawing/2014/main" id="{00000000-0008-0000-0500-00003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62" name="Picture 61">
            <a:extLst>
              <a:ext uri="{FF2B5EF4-FFF2-40B4-BE49-F238E27FC236}">
                <a16:creationId xmlns:a16="http://schemas.microsoft.com/office/drawing/2014/main" id="{00000000-0008-0000-05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63" name="Picture 62">
            <a:extLst>
              <a:ext uri="{FF2B5EF4-FFF2-40B4-BE49-F238E27FC236}">
                <a16:creationId xmlns:a16="http://schemas.microsoft.com/office/drawing/2014/main" id="{00000000-0008-0000-0500-00003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64" name="Picture 63">
            <a:extLst>
              <a:ext uri="{FF2B5EF4-FFF2-40B4-BE49-F238E27FC236}">
                <a16:creationId xmlns:a16="http://schemas.microsoft.com/office/drawing/2014/main" id="{00000000-0008-0000-05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61</xdr:col>
      <xdr:colOff>142874</xdr:colOff>
      <xdr:row>2</xdr:row>
      <xdr:rowOff>0</xdr:rowOff>
    </xdr:from>
    <xdr:to>
      <xdr:col>66</xdr:col>
      <xdr:colOff>742949</xdr:colOff>
      <xdr:row>3</xdr:row>
      <xdr:rowOff>178435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GrpSpPr/>
      </xdr:nvGrpSpPr>
      <xdr:grpSpPr>
        <a:xfrm flipH="1">
          <a:off x="57292874" y="457200"/>
          <a:ext cx="5076825" cy="368935"/>
          <a:chOff x="0" y="0"/>
          <a:chExt cx="3666676" cy="392431"/>
        </a:xfrm>
      </xdr:grpSpPr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00000000-0008-0000-0500-00004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00000000-0008-0000-05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00000000-0008-0000-0500-00004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00000000-0008-0000-0500-00004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70" name="Picture 69">
            <a:extLst>
              <a:ext uri="{FF2B5EF4-FFF2-40B4-BE49-F238E27FC236}">
                <a16:creationId xmlns:a16="http://schemas.microsoft.com/office/drawing/2014/main" id="{00000000-0008-0000-0500-00004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71" name="Picture 70">
            <a:extLst>
              <a:ext uri="{FF2B5EF4-FFF2-40B4-BE49-F238E27FC236}">
                <a16:creationId xmlns:a16="http://schemas.microsoft.com/office/drawing/2014/main" id="{00000000-0008-0000-0500-00004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67</xdr:col>
      <xdr:colOff>142874</xdr:colOff>
      <xdr:row>2</xdr:row>
      <xdr:rowOff>0</xdr:rowOff>
    </xdr:from>
    <xdr:to>
      <xdr:col>72</xdr:col>
      <xdr:colOff>723899</xdr:colOff>
      <xdr:row>3</xdr:row>
      <xdr:rowOff>178435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GrpSpPr/>
      </xdr:nvGrpSpPr>
      <xdr:grpSpPr>
        <a:xfrm flipH="1">
          <a:off x="62664974" y="457200"/>
          <a:ext cx="5057775" cy="368935"/>
          <a:chOff x="0" y="0"/>
          <a:chExt cx="3666676" cy="392431"/>
        </a:xfrm>
      </xdr:grpSpPr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00000000-0008-0000-0500-00004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74" name="Picture 73">
            <a:extLst>
              <a:ext uri="{FF2B5EF4-FFF2-40B4-BE49-F238E27FC236}">
                <a16:creationId xmlns:a16="http://schemas.microsoft.com/office/drawing/2014/main" id="{00000000-0008-0000-05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75" name="Picture 74">
            <a:extLst>
              <a:ext uri="{FF2B5EF4-FFF2-40B4-BE49-F238E27FC236}">
                <a16:creationId xmlns:a16="http://schemas.microsoft.com/office/drawing/2014/main" id="{00000000-0008-0000-0500-00004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76" name="Picture 75">
            <a:extLst>
              <a:ext uri="{FF2B5EF4-FFF2-40B4-BE49-F238E27FC236}">
                <a16:creationId xmlns:a16="http://schemas.microsoft.com/office/drawing/2014/main" id="{00000000-0008-0000-0500-00004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77" name="Picture 76">
            <a:extLst>
              <a:ext uri="{FF2B5EF4-FFF2-40B4-BE49-F238E27FC236}">
                <a16:creationId xmlns:a16="http://schemas.microsoft.com/office/drawing/2014/main" id="{00000000-0008-0000-0500-00004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78" name="Picture 77">
            <a:extLst>
              <a:ext uri="{FF2B5EF4-FFF2-40B4-BE49-F238E27FC236}">
                <a16:creationId xmlns:a16="http://schemas.microsoft.com/office/drawing/2014/main" id="{00000000-0008-0000-0500-00004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115</xdr:col>
      <xdr:colOff>171448</xdr:colOff>
      <xdr:row>2</xdr:row>
      <xdr:rowOff>0</xdr:rowOff>
    </xdr:from>
    <xdr:to>
      <xdr:col>120</xdr:col>
      <xdr:colOff>742949</xdr:colOff>
      <xdr:row>3</xdr:row>
      <xdr:rowOff>178435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GrpSpPr/>
      </xdr:nvGrpSpPr>
      <xdr:grpSpPr>
        <a:xfrm flipH="1">
          <a:off x="105670348" y="457200"/>
          <a:ext cx="5048251" cy="368935"/>
          <a:chOff x="0" y="0"/>
          <a:chExt cx="3666676" cy="392431"/>
        </a:xfrm>
      </xdr:grpSpPr>
      <xdr:pic>
        <xdr:nvPicPr>
          <xdr:cNvPr id="80" name="Picture 79">
            <a:extLst>
              <a:ext uri="{FF2B5EF4-FFF2-40B4-BE49-F238E27FC236}">
                <a16:creationId xmlns:a16="http://schemas.microsoft.com/office/drawing/2014/main" id="{00000000-0008-0000-0500-00005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81" name="Picture 80">
            <a:extLst>
              <a:ext uri="{FF2B5EF4-FFF2-40B4-BE49-F238E27FC236}">
                <a16:creationId xmlns:a16="http://schemas.microsoft.com/office/drawing/2014/main" id="{00000000-0008-0000-0500-00005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82" name="Picture 81">
            <a:extLst>
              <a:ext uri="{FF2B5EF4-FFF2-40B4-BE49-F238E27FC236}">
                <a16:creationId xmlns:a16="http://schemas.microsoft.com/office/drawing/2014/main" id="{00000000-0008-0000-05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83" name="Picture 82">
            <a:extLst>
              <a:ext uri="{FF2B5EF4-FFF2-40B4-BE49-F238E27FC236}">
                <a16:creationId xmlns:a16="http://schemas.microsoft.com/office/drawing/2014/main" id="{00000000-0008-0000-0500-00005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84" name="Picture 83">
            <a:extLst>
              <a:ext uri="{FF2B5EF4-FFF2-40B4-BE49-F238E27FC236}">
                <a16:creationId xmlns:a16="http://schemas.microsoft.com/office/drawing/2014/main" id="{00000000-0008-0000-0500-00005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85" name="Picture 84">
            <a:extLst>
              <a:ext uri="{FF2B5EF4-FFF2-40B4-BE49-F238E27FC236}">
                <a16:creationId xmlns:a16="http://schemas.microsoft.com/office/drawing/2014/main" id="{00000000-0008-0000-0500-00005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73</xdr:col>
      <xdr:colOff>142874</xdr:colOff>
      <xdr:row>2</xdr:row>
      <xdr:rowOff>0</xdr:rowOff>
    </xdr:from>
    <xdr:to>
      <xdr:col>78</xdr:col>
      <xdr:colOff>723899</xdr:colOff>
      <xdr:row>3</xdr:row>
      <xdr:rowOff>178435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GrpSpPr/>
      </xdr:nvGrpSpPr>
      <xdr:grpSpPr>
        <a:xfrm flipH="1">
          <a:off x="68037074" y="457200"/>
          <a:ext cx="5057775" cy="368935"/>
          <a:chOff x="0" y="0"/>
          <a:chExt cx="3666676" cy="392431"/>
        </a:xfrm>
      </xdr:grpSpPr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00000000-0008-0000-0500-00005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00000000-0008-0000-0500-00005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89" name="Picture 88">
            <a:extLst>
              <a:ext uri="{FF2B5EF4-FFF2-40B4-BE49-F238E27FC236}">
                <a16:creationId xmlns:a16="http://schemas.microsoft.com/office/drawing/2014/main" id="{00000000-0008-0000-0500-00005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90" name="Picture 89">
            <a:extLst>
              <a:ext uri="{FF2B5EF4-FFF2-40B4-BE49-F238E27FC236}">
                <a16:creationId xmlns:a16="http://schemas.microsoft.com/office/drawing/2014/main" id="{00000000-0008-0000-0500-00005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91" name="Picture 90">
            <a:extLst>
              <a:ext uri="{FF2B5EF4-FFF2-40B4-BE49-F238E27FC236}">
                <a16:creationId xmlns:a16="http://schemas.microsoft.com/office/drawing/2014/main" id="{00000000-0008-0000-0500-00005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92" name="Picture 91">
            <a:extLst>
              <a:ext uri="{FF2B5EF4-FFF2-40B4-BE49-F238E27FC236}">
                <a16:creationId xmlns:a16="http://schemas.microsoft.com/office/drawing/2014/main" id="{00000000-0008-0000-0500-00005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79</xdr:col>
      <xdr:colOff>142875</xdr:colOff>
      <xdr:row>2</xdr:row>
      <xdr:rowOff>0</xdr:rowOff>
    </xdr:from>
    <xdr:to>
      <xdr:col>84</xdr:col>
      <xdr:colOff>733425</xdr:colOff>
      <xdr:row>3</xdr:row>
      <xdr:rowOff>178435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GrpSpPr/>
      </xdr:nvGrpSpPr>
      <xdr:grpSpPr>
        <a:xfrm flipH="1">
          <a:off x="73409175" y="457200"/>
          <a:ext cx="5067300" cy="368935"/>
          <a:chOff x="0" y="0"/>
          <a:chExt cx="3666676" cy="392431"/>
        </a:xfrm>
      </xdr:grpSpPr>
      <xdr:pic>
        <xdr:nvPicPr>
          <xdr:cNvPr id="94" name="Picture 93">
            <a:extLst>
              <a:ext uri="{FF2B5EF4-FFF2-40B4-BE49-F238E27FC236}">
                <a16:creationId xmlns:a16="http://schemas.microsoft.com/office/drawing/2014/main" id="{00000000-0008-0000-0500-00005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95" name="Picture 94">
            <a:extLst>
              <a:ext uri="{FF2B5EF4-FFF2-40B4-BE49-F238E27FC236}">
                <a16:creationId xmlns:a16="http://schemas.microsoft.com/office/drawing/2014/main" id="{00000000-0008-0000-05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96" name="Picture 95">
            <a:extLst>
              <a:ext uri="{FF2B5EF4-FFF2-40B4-BE49-F238E27FC236}">
                <a16:creationId xmlns:a16="http://schemas.microsoft.com/office/drawing/2014/main" id="{00000000-0008-0000-0500-00006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97" name="Picture 96">
            <a:extLst>
              <a:ext uri="{FF2B5EF4-FFF2-40B4-BE49-F238E27FC236}">
                <a16:creationId xmlns:a16="http://schemas.microsoft.com/office/drawing/2014/main" id="{00000000-0008-0000-0500-00006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98" name="Picture 97">
            <a:extLst>
              <a:ext uri="{FF2B5EF4-FFF2-40B4-BE49-F238E27FC236}">
                <a16:creationId xmlns:a16="http://schemas.microsoft.com/office/drawing/2014/main" id="{00000000-0008-0000-0500-00006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99" name="Picture 98">
            <a:extLst>
              <a:ext uri="{FF2B5EF4-FFF2-40B4-BE49-F238E27FC236}">
                <a16:creationId xmlns:a16="http://schemas.microsoft.com/office/drawing/2014/main" id="{00000000-0008-0000-0500-00006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85</xdr:col>
      <xdr:colOff>142875</xdr:colOff>
      <xdr:row>2</xdr:row>
      <xdr:rowOff>0</xdr:rowOff>
    </xdr:from>
    <xdr:to>
      <xdr:col>90</xdr:col>
      <xdr:colOff>714375</xdr:colOff>
      <xdr:row>3</xdr:row>
      <xdr:rowOff>178435</xdr:rowOff>
    </xdr:to>
    <xdr:grpSp>
      <xdr:nvGrpSpPr>
        <xdr:cNvPr id="100" name="Group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GrpSpPr/>
      </xdr:nvGrpSpPr>
      <xdr:grpSpPr>
        <a:xfrm flipH="1">
          <a:off x="78781275" y="457200"/>
          <a:ext cx="5048250" cy="368935"/>
          <a:chOff x="0" y="0"/>
          <a:chExt cx="3666676" cy="392431"/>
        </a:xfrm>
      </xdr:grpSpPr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00000000-0008-0000-0500-00006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02" name="Picture 101">
            <a:extLst>
              <a:ext uri="{FF2B5EF4-FFF2-40B4-BE49-F238E27FC236}">
                <a16:creationId xmlns:a16="http://schemas.microsoft.com/office/drawing/2014/main" id="{00000000-0008-0000-0500-00006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03" name="Picture 102">
            <a:extLst>
              <a:ext uri="{FF2B5EF4-FFF2-40B4-BE49-F238E27FC236}">
                <a16:creationId xmlns:a16="http://schemas.microsoft.com/office/drawing/2014/main" id="{00000000-0008-0000-0500-00006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04" name="Picture 103">
            <a:extLst>
              <a:ext uri="{FF2B5EF4-FFF2-40B4-BE49-F238E27FC236}">
                <a16:creationId xmlns:a16="http://schemas.microsoft.com/office/drawing/2014/main" id="{00000000-0008-0000-0500-00006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05" name="Picture 104">
            <a:extLst>
              <a:ext uri="{FF2B5EF4-FFF2-40B4-BE49-F238E27FC236}">
                <a16:creationId xmlns:a16="http://schemas.microsoft.com/office/drawing/2014/main" id="{00000000-0008-0000-0500-00006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06" name="Picture 105">
            <a:extLst>
              <a:ext uri="{FF2B5EF4-FFF2-40B4-BE49-F238E27FC236}">
                <a16:creationId xmlns:a16="http://schemas.microsoft.com/office/drawing/2014/main" id="{00000000-0008-0000-0500-00006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91</xdr:col>
      <xdr:colOff>142875</xdr:colOff>
      <xdr:row>2</xdr:row>
      <xdr:rowOff>0</xdr:rowOff>
    </xdr:from>
    <xdr:to>
      <xdr:col>96</xdr:col>
      <xdr:colOff>733425</xdr:colOff>
      <xdr:row>3</xdr:row>
      <xdr:rowOff>178435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GrpSpPr/>
      </xdr:nvGrpSpPr>
      <xdr:grpSpPr>
        <a:xfrm flipH="1">
          <a:off x="84153375" y="457200"/>
          <a:ext cx="5067300" cy="368935"/>
          <a:chOff x="0" y="0"/>
          <a:chExt cx="3666676" cy="392431"/>
        </a:xfrm>
      </xdr:grpSpPr>
      <xdr:pic>
        <xdr:nvPicPr>
          <xdr:cNvPr id="108" name="Picture 107">
            <a:extLst>
              <a:ext uri="{FF2B5EF4-FFF2-40B4-BE49-F238E27FC236}">
                <a16:creationId xmlns:a16="http://schemas.microsoft.com/office/drawing/2014/main" id="{00000000-0008-0000-0500-00006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09" name="Picture 108">
            <a:extLst>
              <a:ext uri="{FF2B5EF4-FFF2-40B4-BE49-F238E27FC236}">
                <a16:creationId xmlns:a16="http://schemas.microsoft.com/office/drawing/2014/main" id="{00000000-0008-0000-0500-00006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10" name="Picture 109">
            <a:extLst>
              <a:ext uri="{FF2B5EF4-FFF2-40B4-BE49-F238E27FC236}">
                <a16:creationId xmlns:a16="http://schemas.microsoft.com/office/drawing/2014/main" id="{00000000-0008-0000-0500-00006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11" name="Picture 110">
            <a:extLst>
              <a:ext uri="{FF2B5EF4-FFF2-40B4-BE49-F238E27FC236}">
                <a16:creationId xmlns:a16="http://schemas.microsoft.com/office/drawing/2014/main" id="{00000000-0008-0000-0500-00006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12" name="Picture 111">
            <a:extLst>
              <a:ext uri="{FF2B5EF4-FFF2-40B4-BE49-F238E27FC236}">
                <a16:creationId xmlns:a16="http://schemas.microsoft.com/office/drawing/2014/main" id="{00000000-0008-0000-0500-00007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13" name="Picture 112">
            <a:extLst>
              <a:ext uri="{FF2B5EF4-FFF2-40B4-BE49-F238E27FC236}">
                <a16:creationId xmlns:a16="http://schemas.microsoft.com/office/drawing/2014/main" id="{00000000-0008-0000-0500-00007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97</xdr:col>
      <xdr:colOff>142874</xdr:colOff>
      <xdr:row>2</xdr:row>
      <xdr:rowOff>0</xdr:rowOff>
    </xdr:from>
    <xdr:to>
      <xdr:col>102</xdr:col>
      <xdr:colOff>723899</xdr:colOff>
      <xdr:row>3</xdr:row>
      <xdr:rowOff>178435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GrpSpPr/>
      </xdr:nvGrpSpPr>
      <xdr:grpSpPr>
        <a:xfrm flipH="1">
          <a:off x="89525474" y="457200"/>
          <a:ext cx="5057775" cy="368935"/>
          <a:chOff x="0" y="0"/>
          <a:chExt cx="3666676" cy="392431"/>
        </a:xfrm>
      </xdr:grpSpPr>
      <xdr:pic>
        <xdr:nvPicPr>
          <xdr:cNvPr id="115" name="Picture 114">
            <a:extLst>
              <a:ext uri="{FF2B5EF4-FFF2-40B4-BE49-F238E27FC236}">
                <a16:creationId xmlns:a16="http://schemas.microsoft.com/office/drawing/2014/main" id="{00000000-0008-0000-0500-00007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16" name="Picture 115">
            <a:extLst>
              <a:ext uri="{FF2B5EF4-FFF2-40B4-BE49-F238E27FC236}">
                <a16:creationId xmlns:a16="http://schemas.microsoft.com/office/drawing/2014/main" id="{00000000-0008-0000-0500-00007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17" name="Picture 116">
            <a:extLst>
              <a:ext uri="{FF2B5EF4-FFF2-40B4-BE49-F238E27FC236}">
                <a16:creationId xmlns:a16="http://schemas.microsoft.com/office/drawing/2014/main" id="{00000000-0008-0000-0500-00007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18" name="Picture 117">
            <a:extLst>
              <a:ext uri="{FF2B5EF4-FFF2-40B4-BE49-F238E27FC236}">
                <a16:creationId xmlns:a16="http://schemas.microsoft.com/office/drawing/2014/main" id="{00000000-0008-0000-0500-00007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19" name="Picture 118">
            <a:extLst>
              <a:ext uri="{FF2B5EF4-FFF2-40B4-BE49-F238E27FC236}">
                <a16:creationId xmlns:a16="http://schemas.microsoft.com/office/drawing/2014/main" id="{00000000-0008-0000-0500-00007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20" name="Picture 119">
            <a:extLst>
              <a:ext uri="{FF2B5EF4-FFF2-40B4-BE49-F238E27FC236}">
                <a16:creationId xmlns:a16="http://schemas.microsoft.com/office/drawing/2014/main" id="{00000000-0008-0000-0500-00007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103</xdr:col>
      <xdr:colOff>142874</xdr:colOff>
      <xdr:row>2</xdr:row>
      <xdr:rowOff>0</xdr:rowOff>
    </xdr:from>
    <xdr:to>
      <xdr:col>108</xdr:col>
      <xdr:colOff>723899</xdr:colOff>
      <xdr:row>3</xdr:row>
      <xdr:rowOff>178435</xdr:rowOff>
    </xdr:to>
    <xdr:grpSp>
      <xdr:nvGrpSpPr>
        <xdr:cNvPr id="121" name="Group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GrpSpPr/>
      </xdr:nvGrpSpPr>
      <xdr:grpSpPr>
        <a:xfrm flipH="1">
          <a:off x="94897574" y="457200"/>
          <a:ext cx="5057775" cy="368935"/>
          <a:chOff x="0" y="0"/>
          <a:chExt cx="3666676" cy="392431"/>
        </a:xfrm>
      </xdr:grpSpPr>
      <xdr:pic>
        <xdr:nvPicPr>
          <xdr:cNvPr id="122" name="Picture 121">
            <a:extLst>
              <a:ext uri="{FF2B5EF4-FFF2-40B4-BE49-F238E27FC236}">
                <a16:creationId xmlns:a16="http://schemas.microsoft.com/office/drawing/2014/main" id="{00000000-0008-0000-0500-00007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23" name="Picture 122">
            <a:extLst>
              <a:ext uri="{FF2B5EF4-FFF2-40B4-BE49-F238E27FC236}">
                <a16:creationId xmlns:a16="http://schemas.microsoft.com/office/drawing/2014/main" id="{00000000-0008-0000-0500-00007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24" name="Picture 123">
            <a:extLst>
              <a:ext uri="{FF2B5EF4-FFF2-40B4-BE49-F238E27FC236}">
                <a16:creationId xmlns:a16="http://schemas.microsoft.com/office/drawing/2014/main" id="{00000000-0008-0000-0500-00007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25" name="Picture 124">
            <a:extLst>
              <a:ext uri="{FF2B5EF4-FFF2-40B4-BE49-F238E27FC236}">
                <a16:creationId xmlns:a16="http://schemas.microsoft.com/office/drawing/2014/main" id="{00000000-0008-0000-0500-00007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26" name="Picture 125">
            <a:extLst>
              <a:ext uri="{FF2B5EF4-FFF2-40B4-BE49-F238E27FC236}">
                <a16:creationId xmlns:a16="http://schemas.microsoft.com/office/drawing/2014/main" id="{00000000-0008-0000-0500-00007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27" name="Picture 126">
            <a:extLst>
              <a:ext uri="{FF2B5EF4-FFF2-40B4-BE49-F238E27FC236}">
                <a16:creationId xmlns:a16="http://schemas.microsoft.com/office/drawing/2014/main" id="{00000000-0008-0000-0500-00007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109</xdr:col>
      <xdr:colOff>142875</xdr:colOff>
      <xdr:row>2</xdr:row>
      <xdr:rowOff>0</xdr:rowOff>
    </xdr:from>
    <xdr:to>
      <xdr:col>114</xdr:col>
      <xdr:colOff>714375</xdr:colOff>
      <xdr:row>3</xdr:row>
      <xdr:rowOff>178435</xdr:rowOff>
    </xdr:to>
    <xdr:grpSp>
      <xdr:nvGrpSpPr>
        <xdr:cNvPr id="128" name="Group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GrpSpPr/>
      </xdr:nvGrpSpPr>
      <xdr:grpSpPr>
        <a:xfrm flipH="1">
          <a:off x="100269675" y="457200"/>
          <a:ext cx="5048250" cy="368935"/>
          <a:chOff x="0" y="0"/>
          <a:chExt cx="3666676" cy="392431"/>
        </a:xfrm>
      </xdr:grpSpPr>
      <xdr:pic>
        <xdr:nvPicPr>
          <xdr:cNvPr id="129" name="Picture 128">
            <a:extLst>
              <a:ext uri="{FF2B5EF4-FFF2-40B4-BE49-F238E27FC236}">
                <a16:creationId xmlns:a16="http://schemas.microsoft.com/office/drawing/2014/main" id="{00000000-0008-0000-0500-00008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30" name="Picture 129">
            <a:extLst>
              <a:ext uri="{FF2B5EF4-FFF2-40B4-BE49-F238E27FC236}">
                <a16:creationId xmlns:a16="http://schemas.microsoft.com/office/drawing/2014/main" id="{00000000-0008-0000-0500-00008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31" name="Picture 130">
            <a:extLst>
              <a:ext uri="{FF2B5EF4-FFF2-40B4-BE49-F238E27FC236}">
                <a16:creationId xmlns:a16="http://schemas.microsoft.com/office/drawing/2014/main" id="{00000000-0008-0000-0500-00008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32" name="Picture 131">
            <a:extLst>
              <a:ext uri="{FF2B5EF4-FFF2-40B4-BE49-F238E27FC236}">
                <a16:creationId xmlns:a16="http://schemas.microsoft.com/office/drawing/2014/main" id="{00000000-0008-0000-0500-00008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33" name="Picture 132">
            <a:extLst>
              <a:ext uri="{FF2B5EF4-FFF2-40B4-BE49-F238E27FC236}">
                <a16:creationId xmlns:a16="http://schemas.microsoft.com/office/drawing/2014/main" id="{00000000-0008-0000-0500-00008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34" name="Picture 133">
            <a:extLst>
              <a:ext uri="{FF2B5EF4-FFF2-40B4-BE49-F238E27FC236}">
                <a16:creationId xmlns:a16="http://schemas.microsoft.com/office/drawing/2014/main" id="{00000000-0008-0000-0500-00008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152400</xdr:colOff>
      <xdr:row>2</xdr:row>
      <xdr:rowOff>0</xdr:rowOff>
    </xdr:from>
    <xdr:to>
      <xdr:col>18</xdr:col>
      <xdr:colOff>733425</xdr:colOff>
      <xdr:row>3</xdr:row>
      <xdr:rowOff>178435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GrpSpPr/>
      </xdr:nvGrpSpPr>
      <xdr:grpSpPr>
        <a:xfrm flipH="1">
          <a:off x="14325600" y="457200"/>
          <a:ext cx="5057775" cy="368935"/>
          <a:chOff x="0" y="0"/>
          <a:chExt cx="3666676" cy="392431"/>
        </a:xfrm>
      </xdr:grpSpPr>
      <xdr:pic>
        <xdr:nvPicPr>
          <xdr:cNvPr id="136" name="Picture 135">
            <a:extLst>
              <a:ext uri="{FF2B5EF4-FFF2-40B4-BE49-F238E27FC236}">
                <a16:creationId xmlns:a16="http://schemas.microsoft.com/office/drawing/2014/main" id="{00000000-0008-0000-0500-00008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37" name="Picture 136">
            <a:extLst>
              <a:ext uri="{FF2B5EF4-FFF2-40B4-BE49-F238E27FC236}">
                <a16:creationId xmlns:a16="http://schemas.microsoft.com/office/drawing/2014/main" id="{00000000-0008-0000-0500-00008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38" name="Picture 137">
            <a:extLst>
              <a:ext uri="{FF2B5EF4-FFF2-40B4-BE49-F238E27FC236}">
                <a16:creationId xmlns:a16="http://schemas.microsoft.com/office/drawing/2014/main" id="{00000000-0008-0000-0500-00008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39" name="Picture 138">
            <a:extLst>
              <a:ext uri="{FF2B5EF4-FFF2-40B4-BE49-F238E27FC236}">
                <a16:creationId xmlns:a16="http://schemas.microsoft.com/office/drawing/2014/main" id="{00000000-0008-0000-0500-00008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40" name="Picture 139">
            <a:extLst>
              <a:ext uri="{FF2B5EF4-FFF2-40B4-BE49-F238E27FC236}">
                <a16:creationId xmlns:a16="http://schemas.microsoft.com/office/drawing/2014/main" id="{00000000-0008-0000-0500-00008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41" name="Picture 140">
            <a:extLst>
              <a:ext uri="{FF2B5EF4-FFF2-40B4-BE49-F238E27FC236}">
                <a16:creationId xmlns:a16="http://schemas.microsoft.com/office/drawing/2014/main" id="{00000000-0008-0000-0500-00008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121</xdr:col>
      <xdr:colOff>171448</xdr:colOff>
      <xdr:row>2</xdr:row>
      <xdr:rowOff>0</xdr:rowOff>
    </xdr:from>
    <xdr:to>
      <xdr:col>126</xdr:col>
      <xdr:colOff>609599</xdr:colOff>
      <xdr:row>3</xdr:row>
      <xdr:rowOff>178435</xdr:rowOff>
    </xdr:to>
    <xdr:grpSp>
      <xdr:nvGrpSpPr>
        <xdr:cNvPr id="142" name="Group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GrpSpPr/>
      </xdr:nvGrpSpPr>
      <xdr:grpSpPr>
        <a:xfrm flipH="1">
          <a:off x="111042448" y="457200"/>
          <a:ext cx="4810126" cy="368935"/>
          <a:chOff x="0" y="0"/>
          <a:chExt cx="3666676" cy="392431"/>
        </a:xfrm>
      </xdr:grpSpPr>
      <xdr:pic>
        <xdr:nvPicPr>
          <xdr:cNvPr id="143" name="Picture 142">
            <a:extLst>
              <a:ext uri="{FF2B5EF4-FFF2-40B4-BE49-F238E27FC236}">
                <a16:creationId xmlns:a16="http://schemas.microsoft.com/office/drawing/2014/main" id="{00000000-0008-0000-0500-00008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44" name="Picture 143">
            <a:extLst>
              <a:ext uri="{FF2B5EF4-FFF2-40B4-BE49-F238E27FC236}">
                <a16:creationId xmlns:a16="http://schemas.microsoft.com/office/drawing/2014/main" id="{00000000-0008-0000-0500-00009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45" name="Picture 144">
            <a:extLst>
              <a:ext uri="{FF2B5EF4-FFF2-40B4-BE49-F238E27FC236}">
                <a16:creationId xmlns:a16="http://schemas.microsoft.com/office/drawing/2014/main" id="{00000000-0008-0000-0500-00009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46" name="Picture 145">
            <a:extLst>
              <a:ext uri="{FF2B5EF4-FFF2-40B4-BE49-F238E27FC236}">
                <a16:creationId xmlns:a16="http://schemas.microsoft.com/office/drawing/2014/main" id="{00000000-0008-0000-0500-00009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47" name="Picture 146">
            <a:extLst>
              <a:ext uri="{FF2B5EF4-FFF2-40B4-BE49-F238E27FC236}">
                <a16:creationId xmlns:a16="http://schemas.microsoft.com/office/drawing/2014/main" id="{00000000-0008-0000-0500-00009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48" name="Picture 147">
            <a:extLst>
              <a:ext uri="{FF2B5EF4-FFF2-40B4-BE49-F238E27FC236}">
                <a16:creationId xmlns:a16="http://schemas.microsoft.com/office/drawing/2014/main" id="{00000000-0008-0000-0500-00009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127</xdr:col>
      <xdr:colOff>95248</xdr:colOff>
      <xdr:row>1</xdr:row>
      <xdr:rowOff>104775</xdr:rowOff>
    </xdr:from>
    <xdr:to>
      <xdr:col>132</xdr:col>
      <xdr:colOff>533399</xdr:colOff>
      <xdr:row>3</xdr:row>
      <xdr:rowOff>92710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GrpSpPr/>
      </xdr:nvGrpSpPr>
      <xdr:grpSpPr>
        <a:xfrm flipH="1">
          <a:off x="116147848" y="371475"/>
          <a:ext cx="4000501" cy="368935"/>
          <a:chOff x="0" y="0"/>
          <a:chExt cx="3666676" cy="392431"/>
        </a:xfrm>
      </xdr:grpSpPr>
      <xdr:pic>
        <xdr:nvPicPr>
          <xdr:cNvPr id="150" name="Picture 149">
            <a:extLst>
              <a:ext uri="{FF2B5EF4-FFF2-40B4-BE49-F238E27FC236}">
                <a16:creationId xmlns:a16="http://schemas.microsoft.com/office/drawing/2014/main" id="{00000000-0008-0000-05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51" name="Picture 150">
            <a:extLst>
              <a:ext uri="{FF2B5EF4-FFF2-40B4-BE49-F238E27FC236}">
                <a16:creationId xmlns:a16="http://schemas.microsoft.com/office/drawing/2014/main" id="{00000000-0008-0000-0500-00009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52" name="Picture 151">
            <a:extLst>
              <a:ext uri="{FF2B5EF4-FFF2-40B4-BE49-F238E27FC236}">
                <a16:creationId xmlns:a16="http://schemas.microsoft.com/office/drawing/2014/main" id="{00000000-0008-0000-0500-00009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53" name="Picture 152">
            <a:extLst>
              <a:ext uri="{FF2B5EF4-FFF2-40B4-BE49-F238E27FC236}">
                <a16:creationId xmlns:a16="http://schemas.microsoft.com/office/drawing/2014/main" id="{00000000-0008-0000-0500-00009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54" name="Picture 153">
            <a:extLst>
              <a:ext uri="{FF2B5EF4-FFF2-40B4-BE49-F238E27FC236}">
                <a16:creationId xmlns:a16="http://schemas.microsoft.com/office/drawing/2014/main" id="{00000000-0008-0000-0500-00009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55" name="Picture 154">
            <a:extLst>
              <a:ext uri="{FF2B5EF4-FFF2-40B4-BE49-F238E27FC236}">
                <a16:creationId xmlns:a16="http://schemas.microsoft.com/office/drawing/2014/main" id="{00000000-0008-0000-0500-00009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133</xdr:col>
      <xdr:colOff>38099</xdr:colOff>
      <xdr:row>1</xdr:row>
      <xdr:rowOff>123825</xdr:rowOff>
    </xdr:from>
    <xdr:to>
      <xdr:col>138</xdr:col>
      <xdr:colOff>590549</xdr:colOff>
      <xdr:row>3</xdr:row>
      <xdr:rowOff>111760</xdr:rowOff>
    </xdr:to>
    <xdr:grpSp>
      <xdr:nvGrpSpPr>
        <xdr:cNvPr id="156" name="Group 155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GrpSpPr/>
      </xdr:nvGrpSpPr>
      <xdr:grpSpPr>
        <a:xfrm flipH="1">
          <a:off x="120262649" y="390525"/>
          <a:ext cx="3629025" cy="368935"/>
          <a:chOff x="0" y="0"/>
          <a:chExt cx="3666676" cy="392431"/>
        </a:xfrm>
      </xdr:grpSpPr>
      <xdr:pic>
        <xdr:nvPicPr>
          <xdr:cNvPr id="157" name="Picture 156">
            <a:extLst>
              <a:ext uri="{FF2B5EF4-FFF2-40B4-BE49-F238E27FC236}">
                <a16:creationId xmlns:a16="http://schemas.microsoft.com/office/drawing/2014/main" id="{00000000-0008-0000-0500-00009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58" name="Picture 157">
            <a:extLst>
              <a:ext uri="{FF2B5EF4-FFF2-40B4-BE49-F238E27FC236}">
                <a16:creationId xmlns:a16="http://schemas.microsoft.com/office/drawing/2014/main" id="{00000000-0008-0000-0500-00009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59" name="Picture 158">
            <a:extLst>
              <a:ext uri="{FF2B5EF4-FFF2-40B4-BE49-F238E27FC236}">
                <a16:creationId xmlns:a16="http://schemas.microsoft.com/office/drawing/2014/main" id="{00000000-0008-0000-0500-00009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60" name="Picture 159">
            <a:extLst>
              <a:ext uri="{FF2B5EF4-FFF2-40B4-BE49-F238E27FC236}">
                <a16:creationId xmlns:a16="http://schemas.microsoft.com/office/drawing/2014/main" id="{00000000-0008-0000-0500-0000A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61" name="Picture 160">
            <a:extLst>
              <a:ext uri="{FF2B5EF4-FFF2-40B4-BE49-F238E27FC236}">
                <a16:creationId xmlns:a16="http://schemas.microsoft.com/office/drawing/2014/main" id="{00000000-0008-0000-0500-0000A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62" name="Picture 161">
            <a:extLst>
              <a:ext uri="{FF2B5EF4-FFF2-40B4-BE49-F238E27FC236}">
                <a16:creationId xmlns:a16="http://schemas.microsoft.com/office/drawing/2014/main" id="{00000000-0008-0000-0500-0000A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139</xdr:col>
      <xdr:colOff>28575</xdr:colOff>
      <xdr:row>1</xdr:row>
      <xdr:rowOff>47625</xdr:rowOff>
    </xdr:from>
    <xdr:to>
      <xdr:col>145</xdr:col>
      <xdr:colOff>0</xdr:colOff>
      <xdr:row>3</xdr:row>
      <xdr:rowOff>35560</xdr:rowOff>
    </xdr:to>
    <xdr:grpSp>
      <xdr:nvGrpSpPr>
        <xdr:cNvPr id="163" name="Group 162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GrpSpPr/>
      </xdr:nvGrpSpPr>
      <xdr:grpSpPr>
        <a:xfrm flipH="1">
          <a:off x="123939300" y="314325"/>
          <a:ext cx="3629025" cy="368935"/>
          <a:chOff x="0" y="0"/>
          <a:chExt cx="3666676" cy="392431"/>
        </a:xfrm>
      </xdr:grpSpPr>
      <xdr:pic>
        <xdr:nvPicPr>
          <xdr:cNvPr id="164" name="Picture 163">
            <a:extLst>
              <a:ext uri="{FF2B5EF4-FFF2-40B4-BE49-F238E27FC236}">
                <a16:creationId xmlns:a16="http://schemas.microsoft.com/office/drawing/2014/main" id="{00000000-0008-0000-0500-0000A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65" name="Picture 164">
            <a:extLst>
              <a:ext uri="{FF2B5EF4-FFF2-40B4-BE49-F238E27FC236}">
                <a16:creationId xmlns:a16="http://schemas.microsoft.com/office/drawing/2014/main" id="{00000000-0008-0000-0500-0000A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66" name="Picture 165">
            <a:extLst>
              <a:ext uri="{FF2B5EF4-FFF2-40B4-BE49-F238E27FC236}">
                <a16:creationId xmlns:a16="http://schemas.microsoft.com/office/drawing/2014/main" id="{00000000-0008-0000-0500-0000A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67" name="Picture 166">
            <a:extLst>
              <a:ext uri="{FF2B5EF4-FFF2-40B4-BE49-F238E27FC236}">
                <a16:creationId xmlns:a16="http://schemas.microsoft.com/office/drawing/2014/main" id="{00000000-0008-0000-0500-0000A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68" name="Picture 167">
            <a:extLst>
              <a:ext uri="{FF2B5EF4-FFF2-40B4-BE49-F238E27FC236}">
                <a16:creationId xmlns:a16="http://schemas.microsoft.com/office/drawing/2014/main" id="{00000000-0008-0000-0500-0000A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69" name="Picture 168">
            <a:extLst>
              <a:ext uri="{FF2B5EF4-FFF2-40B4-BE49-F238E27FC236}">
                <a16:creationId xmlns:a16="http://schemas.microsoft.com/office/drawing/2014/main" id="{00000000-0008-0000-0500-0000A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145</xdr:col>
      <xdr:colOff>95248</xdr:colOff>
      <xdr:row>1</xdr:row>
      <xdr:rowOff>104775</xdr:rowOff>
    </xdr:from>
    <xdr:to>
      <xdr:col>150</xdr:col>
      <xdr:colOff>533399</xdr:colOff>
      <xdr:row>3</xdr:row>
      <xdr:rowOff>92710</xdr:rowOff>
    </xdr:to>
    <xdr:grpSp>
      <xdr:nvGrpSpPr>
        <xdr:cNvPr id="170" name="Group 169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GrpSpPr/>
      </xdr:nvGrpSpPr>
      <xdr:grpSpPr>
        <a:xfrm flipH="1">
          <a:off x="127663573" y="371475"/>
          <a:ext cx="3486151" cy="368935"/>
          <a:chOff x="0" y="0"/>
          <a:chExt cx="3666676" cy="392431"/>
        </a:xfrm>
      </xdr:grpSpPr>
      <xdr:pic>
        <xdr:nvPicPr>
          <xdr:cNvPr id="171" name="Picture 170">
            <a:extLst>
              <a:ext uri="{FF2B5EF4-FFF2-40B4-BE49-F238E27FC236}">
                <a16:creationId xmlns:a16="http://schemas.microsoft.com/office/drawing/2014/main" id="{00000000-0008-0000-0500-0000A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72" name="Picture 171">
            <a:extLst>
              <a:ext uri="{FF2B5EF4-FFF2-40B4-BE49-F238E27FC236}">
                <a16:creationId xmlns:a16="http://schemas.microsoft.com/office/drawing/2014/main" id="{00000000-0008-0000-0500-0000A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73" name="Picture 172">
            <a:extLst>
              <a:ext uri="{FF2B5EF4-FFF2-40B4-BE49-F238E27FC236}">
                <a16:creationId xmlns:a16="http://schemas.microsoft.com/office/drawing/2014/main" id="{00000000-0008-0000-0500-0000A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74" name="Picture 173">
            <a:extLst>
              <a:ext uri="{FF2B5EF4-FFF2-40B4-BE49-F238E27FC236}">
                <a16:creationId xmlns:a16="http://schemas.microsoft.com/office/drawing/2014/main" id="{00000000-0008-0000-0500-0000A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75" name="Picture 174">
            <a:extLst>
              <a:ext uri="{FF2B5EF4-FFF2-40B4-BE49-F238E27FC236}">
                <a16:creationId xmlns:a16="http://schemas.microsoft.com/office/drawing/2014/main" id="{00000000-0008-0000-0500-0000A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76" name="Picture 175">
            <a:extLst>
              <a:ext uri="{FF2B5EF4-FFF2-40B4-BE49-F238E27FC236}">
                <a16:creationId xmlns:a16="http://schemas.microsoft.com/office/drawing/2014/main" id="{00000000-0008-0000-0500-0000B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  <xdr:twoCellAnchor>
    <xdr:from>
      <xdr:col>151</xdr:col>
      <xdr:colOff>142875</xdr:colOff>
      <xdr:row>2</xdr:row>
      <xdr:rowOff>0</xdr:rowOff>
    </xdr:from>
    <xdr:to>
      <xdr:col>157</xdr:col>
      <xdr:colOff>0</xdr:colOff>
      <xdr:row>3</xdr:row>
      <xdr:rowOff>178435</xdr:rowOff>
    </xdr:to>
    <xdr:grpSp>
      <xdr:nvGrpSpPr>
        <xdr:cNvPr id="177" name="Group 176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GrpSpPr/>
      </xdr:nvGrpSpPr>
      <xdr:grpSpPr>
        <a:xfrm flipH="1">
          <a:off x="131368800" y="457200"/>
          <a:ext cx="3514725" cy="368935"/>
          <a:chOff x="0" y="0"/>
          <a:chExt cx="3666676" cy="392431"/>
        </a:xfrm>
      </xdr:grpSpPr>
      <xdr:pic>
        <xdr:nvPicPr>
          <xdr:cNvPr id="178" name="Picture 177">
            <a:extLst>
              <a:ext uri="{FF2B5EF4-FFF2-40B4-BE49-F238E27FC236}">
                <a16:creationId xmlns:a16="http://schemas.microsoft.com/office/drawing/2014/main" id="{00000000-0008-0000-0500-0000B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2026" y="1"/>
            <a:ext cx="374650" cy="392430"/>
          </a:xfrm>
          <a:prstGeom prst="rect">
            <a:avLst/>
          </a:prstGeom>
        </xdr:spPr>
      </xdr:pic>
      <xdr:pic>
        <xdr:nvPicPr>
          <xdr:cNvPr id="179" name="Picture 178">
            <a:extLst>
              <a:ext uri="{FF2B5EF4-FFF2-40B4-BE49-F238E27FC236}">
                <a16:creationId xmlns:a16="http://schemas.microsoft.com/office/drawing/2014/main" id="{00000000-0008-0000-0500-0000B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81000" cy="392429"/>
          </a:xfrm>
          <a:prstGeom prst="rect">
            <a:avLst/>
          </a:prstGeom>
        </xdr:spPr>
      </xdr:pic>
      <xdr:pic>
        <xdr:nvPicPr>
          <xdr:cNvPr id="180" name="Picture 179">
            <a:extLst>
              <a:ext uri="{FF2B5EF4-FFF2-40B4-BE49-F238E27FC236}">
                <a16:creationId xmlns:a16="http://schemas.microsoft.com/office/drawing/2014/main" id="{00000000-0008-0000-0500-0000B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519" y="0"/>
            <a:ext cx="392430" cy="392430"/>
          </a:xfrm>
          <a:prstGeom prst="rect">
            <a:avLst/>
          </a:prstGeom>
        </xdr:spPr>
      </xdr:pic>
      <xdr:pic>
        <xdr:nvPicPr>
          <xdr:cNvPr id="181" name="Picture 180">
            <a:extLst>
              <a:ext uri="{FF2B5EF4-FFF2-40B4-BE49-F238E27FC236}">
                <a16:creationId xmlns:a16="http://schemas.microsoft.com/office/drawing/2014/main" id="{00000000-0008-0000-0500-0000B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4549" y="0"/>
            <a:ext cx="392430" cy="392430"/>
          </a:xfrm>
          <a:prstGeom prst="rect">
            <a:avLst/>
          </a:prstGeom>
        </xdr:spPr>
      </xdr:pic>
      <xdr:pic>
        <xdr:nvPicPr>
          <xdr:cNvPr id="182" name="Picture 181">
            <a:extLst>
              <a:ext uri="{FF2B5EF4-FFF2-40B4-BE49-F238E27FC236}">
                <a16:creationId xmlns:a16="http://schemas.microsoft.com/office/drawing/2014/main" id="{00000000-0008-0000-0500-0000B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2498" y="24516"/>
            <a:ext cx="444011" cy="343397"/>
          </a:xfrm>
          <a:prstGeom prst="rect">
            <a:avLst/>
          </a:prstGeom>
        </xdr:spPr>
      </xdr:pic>
      <xdr:pic>
        <xdr:nvPicPr>
          <xdr:cNvPr id="183" name="Picture 182">
            <a:extLst>
              <a:ext uri="{FF2B5EF4-FFF2-40B4-BE49-F238E27FC236}">
                <a16:creationId xmlns:a16="http://schemas.microsoft.com/office/drawing/2014/main" id="{00000000-0008-0000-0500-0000B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469" y="54992"/>
            <a:ext cx="454561" cy="282445"/>
          </a:xfrm>
          <a:prstGeom prst="rect">
            <a:avLst/>
          </a:prstGeom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385762</xdr:colOff>
      <xdr:row>1</xdr:row>
      <xdr:rowOff>42862</xdr:rowOff>
    </xdr:from>
    <xdr:to>
      <xdr:col>13</xdr:col>
      <xdr:colOff>80962</xdr:colOff>
      <xdr:row>15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15CCAA-04AF-0C0D-341B-78DC0B930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372717</xdr:colOff>
      <xdr:row>17</xdr:row>
      <xdr:rowOff>0</xdr:rowOff>
    </xdr:from>
    <xdr:to>
      <xdr:col>14</xdr:col>
      <xdr:colOff>191134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859CA7-6082-43F1-9C6A-CC83399B6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ECE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16273"/>
      </a:accent1>
      <a:accent2>
        <a:srgbClr val="B3DCE7"/>
      </a:accent2>
      <a:accent3>
        <a:srgbClr val="09316B"/>
      </a:accent3>
      <a:accent4>
        <a:srgbClr val="8C8EF0"/>
      </a:accent4>
      <a:accent5>
        <a:srgbClr val="116336"/>
      </a:accent5>
      <a:accent6>
        <a:srgbClr val="65E59F"/>
      </a:accent6>
      <a:hlink>
        <a:srgbClr val="016273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66"/>
  <sheetViews>
    <sheetView zoomScale="71" zoomScaleNormal="71" workbookViewId="0">
      <pane xSplit="6" ySplit="2" topLeftCell="BS24" activePane="bottomRight" state="frozen"/>
      <selection pane="topRight" activeCell="E1" sqref="E1"/>
      <selection pane="bottomLeft" activeCell="A2" sqref="A2"/>
      <selection pane="bottomRight" activeCell="BU46" sqref="BU46"/>
    </sheetView>
  </sheetViews>
  <sheetFormatPr defaultColWidth="9.140625" defaultRowHeight="12.75" x14ac:dyDescent="0.2"/>
  <cols>
    <col min="1" max="1" width="37.28515625" style="2" customWidth="1"/>
    <col min="2" max="2" width="32.85546875" style="3" customWidth="1"/>
    <col min="3" max="3" width="32.5703125" style="3" customWidth="1"/>
    <col min="4" max="4" width="46.140625" style="3" customWidth="1"/>
    <col min="5" max="5" width="30" style="3" customWidth="1"/>
    <col min="6" max="6" width="24.42578125" style="3" customWidth="1"/>
    <col min="7" max="7" width="12.42578125" style="3" bestFit="1" customWidth="1"/>
    <col min="8" max="8" width="12.28515625" style="3" bestFit="1" customWidth="1"/>
    <col min="9" max="9" width="11.85546875" style="3" bestFit="1" customWidth="1"/>
    <col min="10" max="11" width="12.42578125" style="3" bestFit="1" customWidth="1"/>
    <col min="12" max="12" width="12.28515625" style="3" bestFit="1" customWidth="1"/>
    <col min="13" max="13" width="11.85546875" style="3" bestFit="1" customWidth="1"/>
    <col min="14" max="15" width="12.42578125" style="3" bestFit="1" customWidth="1"/>
    <col min="16" max="16" width="12.28515625" style="3" bestFit="1" customWidth="1"/>
    <col min="17" max="17" width="11.85546875" style="3" bestFit="1" customWidth="1"/>
    <col min="18" max="19" width="12.42578125" style="3" bestFit="1" customWidth="1"/>
    <col min="20" max="20" width="12.28515625" style="3" bestFit="1" customWidth="1"/>
    <col min="21" max="21" width="11.85546875" style="3" bestFit="1" customWidth="1"/>
    <col min="22" max="23" width="12.42578125" style="3" bestFit="1" customWidth="1"/>
    <col min="24" max="24" width="13.140625" style="3" bestFit="1" customWidth="1"/>
    <col min="25" max="25" width="11.85546875" style="3" bestFit="1" customWidth="1"/>
    <col min="26" max="26" width="12.42578125" style="3" bestFit="1" customWidth="1"/>
    <col min="27" max="28" width="11.85546875" style="3" customWidth="1"/>
    <col min="29" max="46" width="11.85546875" style="2" customWidth="1"/>
    <col min="47" max="47" width="13.42578125" style="2" customWidth="1"/>
    <col min="48" max="48" width="12.5703125" style="2" customWidth="1"/>
    <col min="49" max="16384" width="9.140625" style="2"/>
  </cols>
  <sheetData>
    <row r="1" spans="1:76" ht="26.25" thickBot="1" x14ac:dyDescent="0.3">
      <c r="A1" s="84" t="s">
        <v>153</v>
      </c>
      <c r="D1" s="55"/>
      <c r="E1" s="38"/>
      <c r="F1" s="38"/>
      <c r="AS1" s="105" t="s">
        <v>165</v>
      </c>
      <c r="AU1" s="104" t="s">
        <v>164</v>
      </c>
      <c r="AW1" s="104" t="s">
        <v>167</v>
      </c>
      <c r="AZ1" s="2" t="s">
        <v>170</v>
      </c>
      <c r="BB1" s="2" t="s">
        <v>178</v>
      </c>
      <c r="BD1" s="120" t="s">
        <v>184</v>
      </c>
      <c r="BE1" s="120"/>
      <c r="BF1" s="104" t="s">
        <v>185</v>
      </c>
      <c r="BH1" s="2" t="s">
        <v>192</v>
      </c>
      <c r="BJ1" s="2" t="s">
        <v>203</v>
      </c>
      <c r="BK1" s="120" t="s">
        <v>206</v>
      </c>
      <c r="BL1" s="120"/>
      <c r="BM1" s="120" t="s">
        <v>219</v>
      </c>
      <c r="BN1" s="120"/>
      <c r="BO1" s="120" t="s">
        <v>228</v>
      </c>
      <c r="BP1" s="120"/>
      <c r="BQ1" s="120" t="s">
        <v>253</v>
      </c>
      <c r="BR1" s="120"/>
      <c r="BS1" s="120" t="s">
        <v>254</v>
      </c>
      <c r="BT1" s="120"/>
      <c r="BU1" s="120" t="s">
        <v>300</v>
      </c>
      <c r="BV1" s="120"/>
      <c r="BW1" s="120" t="s">
        <v>302</v>
      </c>
      <c r="BX1" s="120"/>
    </row>
    <row r="2" spans="1:76" ht="15.75" thickBot="1" x14ac:dyDescent="0.25">
      <c r="B2" s="2"/>
      <c r="C2" s="2"/>
      <c r="D2" s="56"/>
      <c r="E2" s="39" t="s">
        <v>73</v>
      </c>
      <c r="F2" s="40" t="s">
        <v>0</v>
      </c>
      <c r="G2" s="66" t="s">
        <v>74</v>
      </c>
      <c r="H2" s="66"/>
      <c r="I2" s="66" t="s">
        <v>75</v>
      </c>
      <c r="J2" s="66"/>
      <c r="K2" s="66" t="s">
        <v>76</v>
      </c>
      <c r="L2" s="66"/>
      <c r="M2" s="66" t="s">
        <v>77</v>
      </c>
      <c r="N2" s="66"/>
      <c r="O2" s="66" t="s">
        <v>78</v>
      </c>
      <c r="P2" s="66"/>
      <c r="Q2" s="66" t="s">
        <v>79</v>
      </c>
      <c r="R2" s="66"/>
      <c r="S2" s="66" t="s">
        <v>80</v>
      </c>
      <c r="T2" s="66"/>
      <c r="U2" s="66" t="s">
        <v>81</v>
      </c>
      <c r="V2" s="66"/>
      <c r="W2" s="66" t="s">
        <v>82</v>
      </c>
      <c r="X2" s="66"/>
      <c r="Y2" s="66" t="s">
        <v>83</v>
      </c>
      <c r="Z2" s="66"/>
      <c r="AA2" s="66" t="s">
        <v>84</v>
      </c>
      <c r="AB2" s="66"/>
      <c r="AC2" s="66" t="s">
        <v>85</v>
      </c>
      <c r="AD2" s="66"/>
      <c r="AE2" s="66" t="s">
        <v>86</v>
      </c>
      <c r="AF2" s="66"/>
      <c r="AG2" s="66" t="s">
        <v>87</v>
      </c>
      <c r="AH2" s="66"/>
      <c r="AI2" s="66" t="s">
        <v>88</v>
      </c>
      <c r="AJ2" s="66"/>
      <c r="AK2" s="66" t="s">
        <v>89</v>
      </c>
      <c r="AL2" s="66"/>
      <c r="AM2" s="66" t="s">
        <v>90</v>
      </c>
      <c r="AN2" s="66"/>
      <c r="AO2" s="66" t="s">
        <v>91</v>
      </c>
      <c r="AP2" s="66"/>
      <c r="AQ2" s="66" t="s">
        <v>92</v>
      </c>
      <c r="AR2" s="66"/>
      <c r="AS2" s="91" t="s">
        <v>93</v>
      </c>
      <c r="AT2" s="66"/>
      <c r="AU2" s="91" t="s">
        <v>155</v>
      </c>
      <c r="AV2" s="66"/>
      <c r="AW2" s="91" t="s">
        <v>160</v>
      </c>
      <c r="AX2" s="66"/>
      <c r="AY2" s="91"/>
      <c r="AZ2" s="91" t="s">
        <v>173</v>
      </c>
      <c r="BA2" s="91"/>
      <c r="BB2" s="121" t="s">
        <v>174</v>
      </c>
      <c r="BC2" s="121"/>
      <c r="BD2" s="121" t="s">
        <v>181</v>
      </c>
      <c r="BE2" s="121"/>
      <c r="BF2" s="91" t="s">
        <v>186</v>
      </c>
      <c r="BG2" s="66"/>
      <c r="BH2" s="91" t="s">
        <v>196</v>
      </c>
      <c r="BI2" s="121" t="s">
        <v>198</v>
      </c>
      <c r="BJ2" s="121"/>
      <c r="BK2" s="121" t="s">
        <v>202</v>
      </c>
      <c r="BL2" s="121"/>
      <c r="BM2" s="121" t="s">
        <v>210</v>
      </c>
      <c r="BN2" s="121" t="s">
        <v>210</v>
      </c>
      <c r="BO2" s="121" t="s">
        <v>244</v>
      </c>
      <c r="BP2" s="121"/>
      <c r="BQ2" s="121" t="s">
        <v>249</v>
      </c>
      <c r="BR2" s="121"/>
      <c r="BS2" s="121" t="s">
        <v>255</v>
      </c>
      <c r="BT2" s="121"/>
      <c r="BU2" s="121" t="s">
        <v>301</v>
      </c>
      <c r="BV2" s="121" t="s">
        <v>210</v>
      </c>
      <c r="BW2" s="121" t="s">
        <v>305</v>
      </c>
      <c r="BX2" s="121"/>
    </row>
    <row r="3" spans="1:76" ht="15" x14ac:dyDescent="0.25">
      <c r="B3" s="2"/>
      <c r="C3" s="2"/>
      <c r="D3" s="53"/>
      <c r="E3" s="46" t="s">
        <v>259</v>
      </c>
      <c r="F3" s="46" t="s">
        <v>260</v>
      </c>
      <c r="G3" s="67"/>
      <c r="H3" s="122"/>
      <c r="I3" s="67"/>
      <c r="J3" s="122"/>
      <c r="K3" s="67"/>
      <c r="L3" s="122"/>
      <c r="M3" s="67"/>
      <c r="N3" s="122"/>
      <c r="O3" s="67"/>
      <c r="P3" s="122"/>
      <c r="Q3" s="67"/>
      <c r="R3" s="122"/>
      <c r="S3" s="67"/>
      <c r="T3" s="122"/>
      <c r="U3" s="67"/>
      <c r="V3" s="122"/>
      <c r="W3" s="67"/>
      <c r="X3" s="122"/>
      <c r="Y3" s="67"/>
      <c r="Z3" s="122"/>
      <c r="AA3" s="67"/>
      <c r="AB3" s="122"/>
      <c r="AC3" s="67"/>
      <c r="AD3" s="122"/>
      <c r="AE3" s="67"/>
      <c r="AF3" s="122"/>
      <c r="AG3" s="67"/>
      <c r="AH3" s="122"/>
      <c r="AI3" s="67"/>
      <c r="AJ3" s="122"/>
      <c r="AK3" s="67"/>
      <c r="AL3" s="122"/>
      <c r="AM3" s="67">
        <v>100</v>
      </c>
      <c r="AN3" s="122"/>
      <c r="AO3" s="67">
        <v>100</v>
      </c>
      <c r="AP3" s="122"/>
      <c r="AQ3" s="68">
        <v>100</v>
      </c>
      <c r="AR3" s="122"/>
      <c r="AS3" s="92">
        <v>100</v>
      </c>
      <c r="AT3" s="122"/>
      <c r="AU3" s="97">
        <v>100</v>
      </c>
      <c r="AV3" s="122"/>
      <c r="AW3" s="41">
        <v>100</v>
      </c>
      <c r="AX3" s="122"/>
      <c r="AY3" s="122"/>
      <c r="AZ3" s="41">
        <v>74.832962138084639</v>
      </c>
      <c r="BA3" s="122"/>
      <c r="BB3" s="41">
        <v>91.831683168316829</v>
      </c>
      <c r="BC3" s="122"/>
      <c r="BD3" s="106">
        <v>91</v>
      </c>
      <c r="BF3" s="41">
        <v>86.41975308641976</v>
      </c>
      <c r="BH3" s="41">
        <v>87.692307692307693</v>
      </c>
      <c r="BJ3" s="41">
        <v>84.761904761904773</v>
      </c>
      <c r="BL3" s="41" t="s">
        <v>172</v>
      </c>
      <c r="BN3" s="41">
        <v>92.894736842105274</v>
      </c>
      <c r="BP3" s="37">
        <v>99</v>
      </c>
      <c r="BR3" s="117">
        <v>79.946524064171115</v>
      </c>
      <c r="BT3" s="117">
        <v>96.793002915451922</v>
      </c>
      <c r="BV3" s="117">
        <v>100</v>
      </c>
      <c r="BX3" s="97">
        <v>89.968652037617559</v>
      </c>
    </row>
    <row r="4" spans="1:76" ht="15" x14ac:dyDescent="0.25">
      <c r="B4" s="2"/>
      <c r="C4" s="2"/>
      <c r="D4" s="53"/>
      <c r="E4" s="46" t="s">
        <v>261</v>
      </c>
      <c r="F4" s="46" t="s">
        <v>262</v>
      </c>
      <c r="G4" s="67"/>
      <c r="H4" s="123"/>
      <c r="I4" s="67"/>
      <c r="J4" s="123"/>
      <c r="K4" s="67"/>
      <c r="L4" s="123"/>
      <c r="M4" s="67"/>
      <c r="N4" s="123"/>
      <c r="O4" s="67"/>
      <c r="P4" s="123"/>
      <c r="Q4" s="67"/>
      <c r="R4" s="123"/>
      <c r="S4" s="67"/>
      <c r="T4" s="123"/>
      <c r="U4" s="67"/>
      <c r="V4" s="123"/>
      <c r="W4" s="67"/>
      <c r="X4" s="123"/>
      <c r="Y4" s="67"/>
      <c r="Z4" s="123"/>
      <c r="AA4" s="67"/>
      <c r="AB4" s="123"/>
      <c r="AC4" s="67"/>
      <c r="AD4" s="123"/>
      <c r="AE4" s="67"/>
      <c r="AF4" s="123"/>
      <c r="AG4" s="67"/>
      <c r="AH4" s="123"/>
      <c r="AI4" s="67"/>
      <c r="AJ4" s="123"/>
      <c r="AK4" s="67"/>
      <c r="AL4" s="123"/>
      <c r="AM4" s="67">
        <v>58.928571428571409</v>
      </c>
      <c r="AN4" s="123"/>
      <c r="AO4" s="67">
        <v>75.387037522959872</v>
      </c>
      <c r="AP4" s="123"/>
      <c r="AQ4" s="68">
        <v>72</v>
      </c>
      <c r="AR4" s="123"/>
      <c r="AS4" s="92">
        <v>89.908256880733958</v>
      </c>
      <c r="AT4" s="123"/>
      <c r="AU4" s="97">
        <v>96.0895260559668</v>
      </c>
      <c r="AV4" s="123"/>
      <c r="AW4" s="41">
        <v>74.914089347079042</v>
      </c>
      <c r="AX4" s="123"/>
      <c r="AY4" s="123"/>
      <c r="AZ4" s="41">
        <v>62.58351893095768</v>
      </c>
      <c r="BA4" s="123"/>
      <c r="BB4" s="41">
        <v>80.693069306930681</v>
      </c>
      <c r="BC4" s="123"/>
      <c r="BD4" s="106">
        <v>81</v>
      </c>
      <c r="BF4" s="41">
        <v>76.543209876543202</v>
      </c>
      <c r="BH4" s="41">
        <v>76.923076923076934</v>
      </c>
      <c r="BJ4" s="41">
        <v>67.38095238095238</v>
      </c>
      <c r="BL4" s="41" t="s">
        <v>172</v>
      </c>
      <c r="BN4" s="41">
        <v>14.473684210526317</v>
      </c>
      <c r="BP4" s="37">
        <v>15</v>
      </c>
      <c r="BR4" s="117">
        <v>16.042780748663102</v>
      </c>
      <c r="BT4" s="117">
        <v>14.285714285714288</v>
      </c>
      <c r="BV4" s="117">
        <v>19.558359621451103</v>
      </c>
      <c r="BX4" s="97">
        <v>11.285266457680251</v>
      </c>
    </row>
    <row r="5" spans="1:76" ht="15" x14ac:dyDescent="0.25">
      <c r="B5" s="2"/>
      <c r="C5" s="2"/>
      <c r="D5" s="53"/>
      <c r="E5" s="46" t="s">
        <v>263</v>
      </c>
      <c r="F5" s="46" t="s">
        <v>2</v>
      </c>
      <c r="G5" s="67"/>
      <c r="H5" s="123"/>
      <c r="I5" s="67"/>
      <c r="J5" s="123"/>
      <c r="K5" s="67"/>
      <c r="L5" s="123"/>
      <c r="M5" s="67"/>
      <c r="N5" s="123"/>
      <c r="O5" s="67"/>
      <c r="P5" s="123"/>
      <c r="Q5" s="67"/>
      <c r="R5" s="123"/>
      <c r="S5" s="67"/>
      <c r="T5" s="123"/>
      <c r="U5" s="67"/>
      <c r="V5" s="123"/>
      <c r="W5" s="67"/>
      <c r="X5" s="123"/>
      <c r="Y5" s="67"/>
      <c r="Z5" s="123"/>
      <c r="AA5" s="67"/>
      <c r="AB5" s="123"/>
      <c r="AC5" s="67"/>
      <c r="AD5" s="123"/>
      <c r="AE5" s="67"/>
      <c r="AF5" s="123"/>
      <c r="AG5" s="67"/>
      <c r="AH5" s="123"/>
      <c r="AI5" s="67"/>
      <c r="AJ5" s="123"/>
      <c r="AK5" s="67"/>
      <c r="AL5" s="123"/>
      <c r="AM5" s="67">
        <v>80.555555555555543</v>
      </c>
      <c r="AN5" s="123"/>
      <c r="AO5" s="67">
        <v>78.108108108108112</v>
      </c>
      <c r="AP5" s="123"/>
      <c r="AQ5" s="68">
        <v>70</v>
      </c>
      <c r="AR5" s="123"/>
      <c r="AS5" s="92">
        <v>58.490314636378038</v>
      </c>
      <c r="AT5" s="123"/>
      <c r="AU5" s="97">
        <v>55.117052104392307</v>
      </c>
      <c r="AV5" s="123"/>
      <c r="AW5" s="41">
        <v>53.930126002290955</v>
      </c>
      <c r="AX5" s="123"/>
      <c r="AY5" s="123"/>
      <c r="AZ5" s="41">
        <v>59.910913140311806</v>
      </c>
      <c r="BA5" s="123"/>
      <c r="BB5" s="41">
        <v>56.930693069306926</v>
      </c>
      <c r="BC5" s="123"/>
      <c r="BD5" s="106">
        <v>65</v>
      </c>
      <c r="BF5" s="41">
        <v>50.123456790123456</v>
      </c>
      <c r="BH5" s="41">
        <v>53.333333333333336</v>
      </c>
      <c r="BJ5" s="41">
        <v>55.714285714285715</v>
      </c>
      <c r="BL5" s="41">
        <v>62.464985994397772</v>
      </c>
      <c r="BN5" s="41">
        <v>56.052631578947384</v>
      </c>
      <c r="BP5" s="37">
        <v>61</v>
      </c>
      <c r="BR5" s="117">
        <v>64.705882352941174</v>
      </c>
      <c r="BT5" s="117">
        <v>60.349854227405253</v>
      </c>
      <c r="BV5" s="117">
        <v>64.353312302839115</v>
      </c>
      <c r="BX5" s="97">
        <v>42.63322884012539</v>
      </c>
    </row>
    <row r="6" spans="1:76" ht="15" x14ac:dyDescent="0.25">
      <c r="B6" s="2"/>
      <c r="C6" s="2"/>
      <c r="D6" s="53"/>
      <c r="E6" s="46" t="s">
        <v>58</v>
      </c>
      <c r="F6" s="46" t="s">
        <v>5</v>
      </c>
      <c r="G6" s="67"/>
      <c r="H6" s="123"/>
      <c r="I6" s="67"/>
      <c r="J6" s="123"/>
      <c r="K6" s="67"/>
      <c r="L6" s="123"/>
      <c r="M6" s="67"/>
      <c r="N6" s="123"/>
      <c r="O6" s="67"/>
      <c r="P6" s="123"/>
      <c r="Q6" s="67"/>
      <c r="R6" s="123"/>
      <c r="S6" s="67"/>
      <c r="T6" s="123"/>
      <c r="U6" s="67"/>
      <c r="V6" s="123"/>
      <c r="W6" s="67"/>
      <c r="X6" s="123"/>
      <c r="Y6" s="67"/>
      <c r="Z6" s="123"/>
      <c r="AA6" s="67"/>
      <c r="AB6" s="123"/>
      <c r="AC6" s="67"/>
      <c r="AD6" s="123"/>
      <c r="AE6" s="67"/>
      <c r="AF6" s="123"/>
      <c r="AG6" s="67"/>
      <c r="AH6" s="123"/>
      <c r="AI6" s="67"/>
      <c r="AJ6" s="123"/>
      <c r="AK6" s="67"/>
      <c r="AL6" s="123"/>
      <c r="AM6" s="67">
        <v>40.909090909090907</v>
      </c>
      <c r="AN6" s="123"/>
      <c r="AO6" s="67">
        <v>68.286635259112344</v>
      </c>
      <c r="AP6" s="123"/>
      <c r="AQ6" s="68">
        <v>68</v>
      </c>
      <c r="AR6" s="123"/>
      <c r="AS6" s="92">
        <v>48.620074041489239</v>
      </c>
      <c r="AT6" s="123"/>
      <c r="AU6" s="97">
        <v>42.059547571523623</v>
      </c>
      <c r="AV6" s="123"/>
      <c r="AW6" s="41">
        <v>46.052691867124857</v>
      </c>
      <c r="AX6" s="123"/>
      <c r="AY6" s="123"/>
      <c r="AZ6" s="41">
        <v>52.783964365256118</v>
      </c>
      <c r="BA6" s="123"/>
      <c r="BB6" s="41">
        <v>60.64356435643564</v>
      </c>
      <c r="BC6" s="123"/>
      <c r="BD6" s="106">
        <v>61</v>
      </c>
      <c r="BF6" s="41">
        <v>59.753086419753089</v>
      </c>
      <c r="BH6" s="41">
        <v>71.025641025641022</v>
      </c>
      <c r="BJ6" s="41">
        <v>60.476190476190474</v>
      </c>
      <c r="BL6" s="41">
        <v>69.187675070028007</v>
      </c>
      <c r="BN6" s="41">
        <v>63.421052631578959</v>
      </c>
      <c r="BP6" s="37">
        <v>72</v>
      </c>
      <c r="BR6" s="117">
        <v>72.192513368983953</v>
      </c>
      <c r="BT6" s="117">
        <v>57.142857142857153</v>
      </c>
      <c r="BV6" s="117">
        <v>71.608832807570977</v>
      </c>
      <c r="BX6" s="97">
        <v>49.216300940438877</v>
      </c>
    </row>
    <row r="7" spans="1:76" ht="15" x14ac:dyDescent="0.25">
      <c r="B7" s="2"/>
      <c r="C7" s="2"/>
      <c r="D7" s="53"/>
      <c r="E7" s="46" t="s">
        <v>57</v>
      </c>
      <c r="F7" s="46" t="s">
        <v>4</v>
      </c>
      <c r="G7" s="67"/>
      <c r="H7" s="123"/>
      <c r="I7" s="67"/>
      <c r="J7" s="123"/>
      <c r="K7" s="67"/>
      <c r="L7" s="123"/>
      <c r="M7" s="67"/>
      <c r="N7" s="123"/>
      <c r="O7" s="67"/>
      <c r="P7" s="123"/>
      <c r="Q7" s="67"/>
      <c r="R7" s="123"/>
      <c r="S7" s="67"/>
      <c r="T7" s="123"/>
      <c r="U7" s="67"/>
      <c r="V7" s="123"/>
      <c r="W7" s="67"/>
      <c r="X7" s="123"/>
      <c r="Y7" s="67"/>
      <c r="Z7" s="123"/>
      <c r="AA7" s="67"/>
      <c r="AB7" s="123"/>
      <c r="AC7" s="67"/>
      <c r="AD7" s="123"/>
      <c r="AE7" s="67"/>
      <c r="AF7" s="123"/>
      <c r="AG7" s="67"/>
      <c r="AH7" s="123"/>
      <c r="AI7" s="67"/>
      <c r="AJ7" s="123"/>
      <c r="AK7" s="67"/>
      <c r="AL7" s="123"/>
      <c r="AM7" s="67">
        <v>36.05263157894737</v>
      </c>
      <c r="AN7" s="123"/>
      <c r="AO7" s="67">
        <v>71.195519844168516</v>
      </c>
      <c r="AP7" s="123"/>
      <c r="AQ7" s="68">
        <v>66</v>
      </c>
      <c r="AR7" s="123"/>
      <c r="AS7" s="92">
        <v>48.254509575011873</v>
      </c>
      <c r="AT7" s="123"/>
      <c r="AU7" s="97">
        <v>45.579174983366606</v>
      </c>
      <c r="AV7" s="123"/>
      <c r="AW7" s="41">
        <v>41.003054600992748</v>
      </c>
      <c r="AX7" s="123"/>
      <c r="AY7" s="123"/>
      <c r="AZ7" s="41">
        <v>45.879732739420945</v>
      </c>
      <c r="BA7" s="123"/>
      <c r="BB7" s="41">
        <v>63.861386138613859</v>
      </c>
      <c r="BC7" s="123"/>
      <c r="BD7" s="106">
        <v>67</v>
      </c>
      <c r="BF7" s="41">
        <v>68.641975308641989</v>
      </c>
      <c r="BH7" s="41">
        <v>64.102564102564102</v>
      </c>
      <c r="BJ7" s="41">
        <v>62.380952380952372</v>
      </c>
      <c r="BL7" s="41">
        <v>71.428571428571431</v>
      </c>
      <c r="BN7" s="41">
        <v>80.789473684210535</v>
      </c>
      <c r="BP7" s="37">
        <v>68</v>
      </c>
      <c r="BR7" s="117">
        <v>60.962566844919785</v>
      </c>
      <c r="BT7" s="117">
        <v>59.475218658892139</v>
      </c>
      <c r="BV7" s="117">
        <v>61.829652996845432</v>
      </c>
      <c r="BX7" s="97">
        <v>57.053291536050153</v>
      </c>
    </row>
    <row r="8" spans="1:76" ht="15" x14ac:dyDescent="0.25">
      <c r="B8" s="2"/>
      <c r="C8" s="2"/>
      <c r="D8" s="53"/>
      <c r="E8" s="46" t="s">
        <v>61</v>
      </c>
      <c r="F8" s="46" t="s">
        <v>8</v>
      </c>
      <c r="G8" s="67"/>
      <c r="H8" s="123"/>
      <c r="I8" s="67"/>
      <c r="J8" s="123"/>
      <c r="K8" s="67"/>
      <c r="L8" s="123"/>
      <c r="M8" s="67"/>
      <c r="N8" s="123"/>
      <c r="O8" s="67"/>
      <c r="P8" s="123"/>
      <c r="Q8" s="67"/>
      <c r="R8" s="123"/>
      <c r="S8" s="67"/>
      <c r="T8" s="123"/>
      <c r="U8" s="67"/>
      <c r="V8" s="123"/>
      <c r="W8" s="67"/>
      <c r="X8" s="123"/>
      <c r="Y8" s="67"/>
      <c r="Z8" s="123"/>
      <c r="AA8" s="67"/>
      <c r="AB8" s="123"/>
      <c r="AC8" s="67"/>
      <c r="AD8" s="123"/>
      <c r="AE8" s="67"/>
      <c r="AF8" s="123"/>
      <c r="AG8" s="67"/>
      <c r="AH8" s="123"/>
      <c r="AI8" s="67"/>
      <c r="AJ8" s="123"/>
      <c r="AK8" s="67"/>
      <c r="AL8" s="123"/>
      <c r="AM8" s="67">
        <v>25.872093023255811</v>
      </c>
      <c r="AN8" s="123"/>
      <c r="AO8" s="67">
        <v>40.150961772583393</v>
      </c>
      <c r="AP8" s="123"/>
      <c r="AQ8" s="68">
        <v>55</v>
      </c>
      <c r="AR8" s="123"/>
      <c r="AS8" s="92">
        <v>58.370516398764117</v>
      </c>
      <c r="AT8" s="123"/>
      <c r="AU8" s="97">
        <v>69.512641383898867</v>
      </c>
      <c r="AV8" s="123"/>
      <c r="AW8" s="41">
        <v>88.065673921344029</v>
      </c>
      <c r="AX8" s="123"/>
      <c r="AY8" s="123"/>
      <c r="AZ8" s="41">
        <v>100</v>
      </c>
      <c r="BA8" s="123"/>
      <c r="BB8" s="41">
        <v>100</v>
      </c>
      <c r="BC8" s="123"/>
      <c r="BD8" s="106">
        <v>100</v>
      </c>
      <c r="BF8" s="41">
        <v>100</v>
      </c>
      <c r="BH8" s="41">
        <v>99.230769230769226</v>
      </c>
      <c r="BJ8" s="41">
        <v>100</v>
      </c>
      <c r="BL8" s="41">
        <v>88.235294117647072</v>
      </c>
      <c r="BN8" s="41">
        <v>100</v>
      </c>
      <c r="BP8" s="37">
        <v>100</v>
      </c>
      <c r="BR8" s="117">
        <v>100</v>
      </c>
      <c r="BT8" s="117">
        <v>100</v>
      </c>
      <c r="BV8" s="117">
        <v>96.52996845425865</v>
      </c>
      <c r="BX8" s="97">
        <v>100</v>
      </c>
    </row>
    <row r="9" spans="1:76" ht="15" x14ac:dyDescent="0.25">
      <c r="B9" s="2"/>
      <c r="C9" s="2"/>
      <c r="D9" s="53"/>
      <c r="E9" s="46" t="s">
        <v>264</v>
      </c>
      <c r="F9" s="46" t="s">
        <v>220</v>
      </c>
      <c r="G9" s="67"/>
      <c r="H9" s="123"/>
      <c r="I9" s="67"/>
      <c r="J9" s="123"/>
      <c r="K9" s="67"/>
      <c r="L9" s="123"/>
      <c r="M9" s="67"/>
      <c r="N9" s="123"/>
      <c r="O9" s="67"/>
      <c r="P9" s="123"/>
      <c r="Q9" s="67"/>
      <c r="R9" s="123"/>
      <c r="S9" s="67"/>
      <c r="T9" s="123"/>
      <c r="U9" s="67"/>
      <c r="V9" s="123"/>
      <c r="W9" s="67"/>
      <c r="X9" s="123"/>
      <c r="Y9" s="67"/>
      <c r="Z9" s="123"/>
      <c r="AA9" s="67"/>
      <c r="AB9" s="123"/>
      <c r="AC9" s="67"/>
      <c r="AD9" s="123"/>
      <c r="AE9" s="67"/>
      <c r="AF9" s="123"/>
      <c r="AG9" s="67"/>
      <c r="AH9" s="123"/>
      <c r="AI9" s="67"/>
      <c r="AJ9" s="123"/>
      <c r="AK9" s="67"/>
      <c r="AL9" s="123"/>
      <c r="AM9" s="67">
        <v>29.411764705882355</v>
      </c>
      <c r="AN9" s="123"/>
      <c r="AO9" s="67">
        <v>48.034398034398031</v>
      </c>
      <c r="AP9" s="123"/>
      <c r="AQ9" s="68">
        <v>42</v>
      </c>
      <c r="AR9" s="123"/>
      <c r="AS9" s="92">
        <v>24.492819253983296</v>
      </c>
      <c r="AT9" s="123"/>
      <c r="AU9" s="97">
        <v>21.117764471057889</v>
      </c>
      <c r="AV9" s="123"/>
      <c r="AW9" s="41">
        <v>20.539446827851819</v>
      </c>
      <c r="AX9" s="123"/>
      <c r="AY9" s="123"/>
      <c r="AZ9" s="41">
        <v>20.935412026726059</v>
      </c>
      <c r="BA9" s="123"/>
      <c r="BB9" s="41">
        <v>23.267326732673265</v>
      </c>
      <c r="BC9" s="123"/>
      <c r="BD9" s="106">
        <v>25</v>
      </c>
      <c r="BF9" s="41">
        <v>32.098765432098766</v>
      </c>
      <c r="BH9" s="41">
        <v>37.435897435897431</v>
      </c>
      <c r="BJ9" s="41">
        <v>45.952380952380963</v>
      </c>
      <c r="BL9" s="41">
        <v>38.095238095238102</v>
      </c>
      <c r="BN9" s="41">
        <v>40.526315789473692</v>
      </c>
      <c r="BP9" s="37">
        <v>42</v>
      </c>
      <c r="BR9" s="117">
        <v>33.957219251336895</v>
      </c>
      <c r="BT9" s="117">
        <v>44.023323615160358</v>
      </c>
      <c r="BV9" s="117">
        <v>45.425867507886437</v>
      </c>
      <c r="BX9" s="97">
        <v>59.56112852664576</v>
      </c>
    </row>
    <row r="10" spans="1:76" ht="15" x14ac:dyDescent="0.25">
      <c r="B10" s="2"/>
      <c r="C10" s="2"/>
      <c r="D10" s="53"/>
      <c r="E10" s="46" t="s">
        <v>265</v>
      </c>
      <c r="F10" s="46" t="s">
        <v>7</v>
      </c>
      <c r="G10" s="67"/>
      <c r="H10" s="123"/>
      <c r="I10" s="67"/>
      <c r="J10" s="123"/>
      <c r="K10" s="67"/>
      <c r="L10" s="123"/>
      <c r="M10" s="67"/>
      <c r="N10" s="123"/>
      <c r="O10" s="67"/>
      <c r="P10" s="123"/>
      <c r="Q10" s="67"/>
      <c r="R10" s="123"/>
      <c r="S10" s="67"/>
      <c r="T10" s="123"/>
      <c r="U10" s="67"/>
      <c r="V10" s="123"/>
      <c r="W10" s="67"/>
      <c r="X10" s="123"/>
      <c r="Y10" s="67"/>
      <c r="Z10" s="123"/>
      <c r="AA10" s="67"/>
      <c r="AB10" s="123"/>
      <c r="AC10" s="67"/>
      <c r="AD10" s="123"/>
      <c r="AE10" s="67"/>
      <c r="AF10" s="123"/>
      <c r="AG10" s="67"/>
      <c r="AH10" s="123"/>
      <c r="AI10" s="67"/>
      <c r="AJ10" s="123"/>
      <c r="AK10" s="67"/>
      <c r="AL10" s="123"/>
      <c r="AM10" s="67">
        <v>25</v>
      </c>
      <c r="AN10" s="123"/>
      <c r="AO10" s="67">
        <v>45.441045441045446</v>
      </c>
      <c r="AP10" s="123"/>
      <c r="AQ10" s="68">
        <v>39</v>
      </c>
      <c r="AR10" s="123"/>
      <c r="AS10" s="41">
        <v>72.652212033083927</v>
      </c>
      <c r="AT10" s="123"/>
      <c r="AU10" s="97">
        <v>59</v>
      </c>
      <c r="AV10" s="123"/>
      <c r="AW10" s="41">
        <v>54.608819631522884</v>
      </c>
      <c r="AX10" s="123"/>
      <c r="AY10" s="123"/>
      <c r="AZ10" s="41">
        <v>19.599109131403115</v>
      </c>
      <c r="BA10" s="123"/>
      <c r="BB10" s="41">
        <v>35.148514851485139</v>
      </c>
      <c r="BC10" s="123"/>
      <c r="BD10" s="106">
        <v>31</v>
      </c>
      <c r="BF10" s="41">
        <v>30.123456790123456</v>
      </c>
      <c r="BH10" s="41">
        <v>30.256410256410255</v>
      </c>
      <c r="BJ10" s="41">
        <v>22.142857142857146</v>
      </c>
      <c r="BL10" s="41">
        <v>24.649859943977589</v>
      </c>
      <c r="BN10" s="41">
        <v>28.15789473684211</v>
      </c>
      <c r="BP10" s="37">
        <v>29</v>
      </c>
      <c r="BR10" s="117">
        <v>28.074866310160424</v>
      </c>
      <c r="BT10" s="117">
        <v>27.696793002915449</v>
      </c>
      <c r="BV10" s="117">
        <v>27.760252365930597</v>
      </c>
      <c r="BX10" s="97">
        <v>26.332288401253923</v>
      </c>
    </row>
    <row r="11" spans="1:76" ht="15" x14ac:dyDescent="0.25">
      <c r="B11" s="2"/>
      <c r="C11" s="2"/>
      <c r="D11" s="53"/>
      <c r="E11" s="46" t="s">
        <v>266</v>
      </c>
      <c r="F11" s="46" t="s">
        <v>306</v>
      </c>
      <c r="G11" s="67"/>
      <c r="H11" s="123"/>
      <c r="I11" s="67"/>
      <c r="J11" s="123"/>
      <c r="K11" s="67"/>
      <c r="L11" s="123"/>
      <c r="M11" s="67"/>
      <c r="N11" s="123"/>
      <c r="O11" s="67"/>
      <c r="P11" s="123"/>
      <c r="Q11" s="67"/>
      <c r="R11" s="123"/>
      <c r="S11" s="67"/>
      <c r="T11" s="123"/>
      <c r="U11" s="67"/>
      <c r="V11" s="123"/>
      <c r="W11" s="67"/>
      <c r="X11" s="123"/>
      <c r="Y11" s="67"/>
      <c r="Z11" s="123"/>
      <c r="AA11" s="67"/>
      <c r="AB11" s="123"/>
      <c r="AC11" s="67"/>
      <c r="AD11" s="123"/>
      <c r="AE11" s="67"/>
      <c r="AF11" s="123"/>
      <c r="AG11" s="67"/>
      <c r="AH11" s="123"/>
      <c r="AI11" s="67"/>
      <c r="AJ11" s="123"/>
      <c r="AK11" s="67"/>
      <c r="AL11" s="123"/>
      <c r="AM11" s="67">
        <v>21.220930232558135</v>
      </c>
      <c r="AN11" s="123"/>
      <c r="AO11" s="67">
        <v>16.971025079133184</v>
      </c>
      <c r="AP11" s="123"/>
      <c r="AQ11" s="68">
        <v>35</v>
      </c>
      <c r="AR11" s="123"/>
      <c r="AS11" s="41">
        <v>27.326324556109309</v>
      </c>
      <c r="AT11" s="123"/>
      <c r="AU11" s="97">
        <v>35.196274118429812</v>
      </c>
      <c r="AV11" s="123"/>
      <c r="AW11" s="41">
        <v>38.175257731958759</v>
      </c>
      <c r="AX11" s="123"/>
      <c r="AY11" s="123"/>
      <c r="AZ11" s="41">
        <v>38.084632516703785</v>
      </c>
      <c r="BA11" s="123"/>
      <c r="BB11" s="41">
        <v>48.514851485148512</v>
      </c>
      <c r="BC11" s="123"/>
      <c r="BD11" s="106">
        <v>51</v>
      </c>
      <c r="BF11" s="41">
        <v>45.185185185185183</v>
      </c>
      <c r="BH11" s="41">
        <v>57.435897435897431</v>
      </c>
      <c r="BJ11" s="41">
        <v>70.476190476190496</v>
      </c>
      <c r="BL11" s="41">
        <v>73.669467787114868</v>
      </c>
      <c r="BN11" s="41">
        <v>66.578947368421055</v>
      </c>
      <c r="BP11" s="37">
        <v>54</v>
      </c>
      <c r="BR11" s="117">
        <v>50</v>
      </c>
      <c r="BT11" s="117">
        <v>37.026239067055393</v>
      </c>
      <c r="BV11" s="117">
        <v>48.264984227129325</v>
      </c>
      <c r="BX11" s="97">
        <v>33.228840125391848</v>
      </c>
    </row>
    <row r="12" spans="1:76" ht="15" x14ac:dyDescent="0.25">
      <c r="B12" s="2"/>
      <c r="C12" s="2"/>
      <c r="D12" s="53"/>
      <c r="E12" s="46" t="s">
        <v>267</v>
      </c>
      <c r="F12" s="46" t="s">
        <v>268</v>
      </c>
      <c r="G12" s="67"/>
      <c r="H12" s="123"/>
      <c r="I12" s="67"/>
      <c r="J12" s="123"/>
      <c r="K12" s="67"/>
      <c r="L12" s="123"/>
      <c r="M12" s="67"/>
      <c r="N12" s="123"/>
      <c r="O12" s="67"/>
      <c r="P12" s="123"/>
      <c r="Q12" s="67"/>
      <c r="R12" s="123"/>
      <c r="S12" s="67"/>
      <c r="T12" s="123"/>
      <c r="U12" s="67"/>
      <c r="V12" s="123"/>
      <c r="W12" s="67"/>
      <c r="X12" s="123"/>
      <c r="Y12" s="67"/>
      <c r="Z12" s="123"/>
      <c r="AA12" s="67"/>
      <c r="AB12" s="123"/>
      <c r="AC12" s="67"/>
      <c r="AD12" s="123"/>
      <c r="AE12" s="67"/>
      <c r="AF12" s="123"/>
      <c r="AG12" s="67"/>
      <c r="AH12" s="123"/>
      <c r="AI12" s="67"/>
      <c r="AJ12" s="123"/>
      <c r="AK12" s="67"/>
      <c r="AL12" s="123"/>
      <c r="AM12" s="67">
        <v>20.294117647058822</v>
      </c>
      <c r="AN12" s="123"/>
      <c r="AO12" s="67">
        <v>28.560993425858292</v>
      </c>
      <c r="AP12" s="123"/>
      <c r="AQ12" s="68">
        <v>23</v>
      </c>
      <c r="AR12" s="123"/>
      <c r="AS12" s="41">
        <v>14.871469146181937</v>
      </c>
      <c r="AT12" s="123"/>
      <c r="AU12" s="97">
        <v>11.273942475898426</v>
      </c>
      <c r="AV12" s="123"/>
      <c r="AW12" s="41">
        <v>8.6853760977472305</v>
      </c>
      <c r="AX12" s="123"/>
      <c r="AY12" s="123"/>
      <c r="AZ12" s="41">
        <v>8.6859688195991076</v>
      </c>
      <c r="BA12" s="123"/>
      <c r="BB12" s="41">
        <v>24.009900990099005</v>
      </c>
      <c r="BC12" s="123"/>
      <c r="BD12" s="106">
        <v>18</v>
      </c>
      <c r="BF12" s="41">
        <v>11.358024691358025</v>
      </c>
      <c r="BH12" s="41">
        <v>17.69230769230769</v>
      </c>
      <c r="BJ12" s="41">
        <v>15.714285714285717</v>
      </c>
      <c r="BL12" s="41" t="s">
        <v>172</v>
      </c>
      <c r="BN12" s="41">
        <v>66.315789473684234</v>
      </c>
      <c r="BP12" s="37">
        <v>7</v>
      </c>
      <c r="BR12" s="117">
        <v>13.636363636363635</v>
      </c>
      <c r="BT12" s="117">
        <v>7.2886297376093312</v>
      </c>
      <c r="BV12" s="117">
        <v>11.987381703470032</v>
      </c>
      <c r="BX12" s="97">
        <v>9.7178683385579951</v>
      </c>
    </row>
    <row r="13" spans="1:76" ht="15" x14ac:dyDescent="0.25">
      <c r="B13" s="2"/>
      <c r="C13" s="2"/>
      <c r="D13" s="53"/>
      <c r="E13" s="46" t="s">
        <v>269</v>
      </c>
      <c r="F13" s="46" t="s">
        <v>213</v>
      </c>
      <c r="G13" s="67"/>
      <c r="H13" s="123"/>
      <c r="I13" s="67"/>
      <c r="J13" s="123"/>
      <c r="K13" s="67"/>
      <c r="L13" s="123"/>
      <c r="M13" s="67"/>
      <c r="N13" s="123"/>
      <c r="O13" s="67"/>
      <c r="P13" s="123"/>
      <c r="Q13" s="67"/>
      <c r="R13" s="123"/>
      <c r="S13" s="67"/>
      <c r="T13" s="123"/>
      <c r="U13" s="67"/>
      <c r="V13" s="123"/>
      <c r="W13" s="67"/>
      <c r="X13" s="123"/>
      <c r="Y13" s="67"/>
      <c r="Z13" s="123"/>
      <c r="AA13" s="67"/>
      <c r="AB13" s="123"/>
      <c r="AC13" s="67"/>
      <c r="AD13" s="123"/>
      <c r="AE13" s="67"/>
      <c r="AF13" s="123"/>
      <c r="AG13" s="67"/>
      <c r="AH13" s="123"/>
      <c r="AI13" s="67"/>
      <c r="AJ13" s="123"/>
      <c r="AK13" s="67"/>
      <c r="AL13" s="123"/>
      <c r="AM13" s="67">
        <v>17.816091954022987</v>
      </c>
      <c r="AN13" s="123"/>
      <c r="AO13" s="67">
        <v>31.458485512539575</v>
      </c>
      <c r="AP13" s="123"/>
      <c r="AQ13" s="68">
        <v>19</v>
      </c>
      <c r="AR13" s="123"/>
      <c r="AS13" s="41">
        <v>10.601369527843516</v>
      </c>
      <c r="AT13" s="123"/>
      <c r="AU13" s="97">
        <v>5.2794411177644713</v>
      </c>
      <c r="AV13" s="123"/>
      <c r="AW13" s="41">
        <v>5.6555937380679664</v>
      </c>
      <c r="AX13" s="123"/>
      <c r="AY13" s="123"/>
      <c r="AZ13" s="41">
        <v>4.231625835189309</v>
      </c>
      <c r="BA13" s="123"/>
      <c r="BB13" s="41">
        <v>22.277227722772274</v>
      </c>
      <c r="BC13" s="123"/>
      <c r="BD13" s="106">
        <v>20</v>
      </c>
      <c r="BF13" s="41">
        <v>15.308641975308641</v>
      </c>
      <c r="BH13" s="41">
        <v>17.179487179487179</v>
      </c>
      <c r="BJ13" s="41">
        <v>14.285714285714288</v>
      </c>
      <c r="BL13" s="41" t="s">
        <v>172</v>
      </c>
      <c r="BN13" s="41">
        <v>43.684210526315802</v>
      </c>
      <c r="BP13" s="37">
        <v>32</v>
      </c>
      <c r="BR13" s="117">
        <v>31.283422459893046</v>
      </c>
      <c r="BT13" s="117">
        <v>18.07580174927114</v>
      </c>
      <c r="BV13" s="117">
        <v>36.593059936908517</v>
      </c>
      <c r="BX13" s="97">
        <v>23.197492163009407</v>
      </c>
    </row>
    <row r="14" spans="1:76" ht="15" x14ac:dyDescent="0.25">
      <c r="B14" s="2"/>
      <c r="C14" s="2"/>
      <c r="D14" s="53"/>
      <c r="E14" s="34" t="s">
        <v>71</v>
      </c>
      <c r="F14" s="46" t="s">
        <v>48</v>
      </c>
      <c r="G14" s="68"/>
      <c r="H14" s="123"/>
      <c r="I14" s="68"/>
      <c r="J14" s="123"/>
      <c r="K14" s="68"/>
      <c r="L14" s="123"/>
      <c r="M14" s="68"/>
      <c r="N14" s="123"/>
      <c r="O14" s="68"/>
      <c r="P14" s="123"/>
      <c r="Q14" s="68"/>
      <c r="R14" s="123"/>
      <c r="S14" s="68"/>
      <c r="T14" s="123"/>
      <c r="U14" s="68"/>
      <c r="V14" s="123"/>
      <c r="W14" s="68"/>
      <c r="X14" s="123"/>
      <c r="Y14" s="68"/>
      <c r="Z14" s="123"/>
      <c r="AA14" s="68"/>
      <c r="AB14" s="123"/>
      <c r="AC14" s="68"/>
      <c r="AD14" s="123"/>
      <c r="AE14" s="68"/>
      <c r="AF14" s="123"/>
      <c r="AG14" s="68"/>
      <c r="AH14" s="123"/>
      <c r="AI14" s="68"/>
      <c r="AJ14" s="123"/>
      <c r="AK14" s="68"/>
      <c r="AL14" s="123"/>
      <c r="AM14" s="69" t="s">
        <v>38</v>
      </c>
      <c r="AN14" s="123"/>
      <c r="AO14" s="69" t="s">
        <v>38</v>
      </c>
      <c r="AP14" s="123"/>
      <c r="AQ14" s="70">
        <v>18</v>
      </c>
      <c r="AR14" s="123"/>
      <c r="AS14" s="41">
        <v>13.738373903960246</v>
      </c>
      <c r="AT14" s="123"/>
      <c r="AU14" s="97">
        <v>8.4471057884231531</v>
      </c>
      <c r="AV14" s="123"/>
      <c r="AW14" s="41">
        <v>5.6555937380679646</v>
      </c>
      <c r="AX14" s="123"/>
      <c r="AY14" s="123"/>
      <c r="AZ14" s="41">
        <v>6.2360801781737187</v>
      </c>
      <c r="BA14" s="123"/>
      <c r="BB14" s="41">
        <v>5.9405940594059397</v>
      </c>
      <c r="BC14" s="123"/>
      <c r="BD14" s="106">
        <v>9</v>
      </c>
      <c r="BF14" s="41">
        <v>8.3950617283950617</v>
      </c>
      <c r="BH14" s="41">
        <v>5.1282051282051277</v>
      </c>
      <c r="BJ14" s="41">
        <v>14.285714285714288</v>
      </c>
      <c r="BL14" s="41">
        <v>11.204481792717086</v>
      </c>
      <c r="BN14" s="41">
        <v>17.894736842105267</v>
      </c>
      <c r="BP14" s="37">
        <v>6</v>
      </c>
      <c r="BR14" s="117">
        <v>17.112299465240643</v>
      </c>
      <c r="BT14" s="117">
        <v>16.326530612244898</v>
      </c>
      <c r="BV14" s="117">
        <v>24.921135646687695</v>
      </c>
      <c r="BX14" s="97">
        <v>13.793103448275861</v>
      </c>
    </row>
    <row r="15" spans="1:76" ht="45" x14ac:dyDescent="0.25">
      <c r="B15" s="2"/>
      <c r="C15" s="2"/>
      <c r="D15" s="57"/>
      <c r="E15" s="44" t="s">
        <v>270</v>
      </c>
      <c r="F15" s="46" t="s">
        <v>222</v>
      </c>
      <c r="G15" s="71"/>
      <c r="H15" s="123"/>
      <c r="I15" s="71"/>
      <c r="J15" s="123"/>
      <c r="K15" s="71"/>
      <c r="L15" s="123"/>
      <c r="M15" s="71"/>
      <c r="N15" s="123"/>
      <c r="O15" s="71"/>
      <c r="P15" s="123"/>
      <c r="Q15" s="71"/>
      <c r="R15" s="123"/>
      <c r="S15" s="71"/>
      <c r="T15" s="123"/>
      <c r="U15" s="71"/>
      <c r="V15" s="123"/>
      <c r="W15" s="71"/>
      <c r="X15" s="123"/>
      <c r="Y15" s="71"/>
      <c r="Z15" s="123"/>
      <c r="AA15" s="71"/>
      <c r="AB15" s="123"/>
      <c r="AC15" s="71"/>
      <c r="AD15" s="123"/>
      <c r="AE15" s="71"/>
      <c r="AF15" s="123"/>
      <c r="AG15" s="71"/>
      <c r="AH15" s="123"/>
      <c r="AI15" s="71"/>
      <c r="AJ15" s="123"/>
      <c r="AK15" s="71"/>
      <c r="AL15" s="123"/>
      <c r="AM15" s="69" t="s">
        <v>38</v>
      </c>
      <c r="AN15" s="123"/>
      <c r="AO15" s="68">
        <v>15</v>
      </c>
      <c r="AP15" s="123"/>
      <c r="AQ15" s="68">
        <v>17</v>
      </c>
      <c r="AR15" s="123"/>
      <c r="AS15" s="41">
        <v>20.362872415224448</v>
      </c>
      <c r="AT15" s="123"/>
      <c r="AU15" s="97">
        <v>10.554484533639927</v>
      </c>
      <c r="AV15" s="123"/>
      <c r="AW15" s="41">
        <v>16.814609002729195</v>
      </c>
      <c r="AX15" s="123"/>
      <c r="AY15" s="123"/>
      <c r="AZ15" s="41">
        <v>0</v>
      </c>
      <c r="BA15" s="123"/>
      <c r="BB15" s="41">
        <v>2.7227722772277225</v>
      </c>
      <c r="BC15" s="123"/>
      <c r="BD15" s="106">
        <v>2</v>
      </c>
      <c r="BF15" s="41">
        <v>1.4814814814814814</v>
      </c>
      <c r="BH15" s="41">
        <v>2.0512820512820511</v>
      </c>
      <c r="BJ15" s="41">
        <v>5</v>
      </c>
      <c r="BL15" s="41" t="s">
        <v>172</v>
      </c>
      <c r="BN15" s="41">
        <v>28.15789473684211</v>
      </c>
      <c r="BP15" s="37">
        <v>16</v>
      </c>
      <c r="BR15" s="117">
        <v>13.101604278074866</v>
      </c>
      <c r="BT15" s="117">
        <v>8.7463556851311957</v>
      </c>
      <c r="BV15" s="117">
        <v>8.8328075709779181</v>
      </c>
      <c r="BX15" s="97">
        <v>7.523510971786834</v>
      </c>
    </row>
    <row r="16" spans="1:76" ht="15" x14ac:dyDescent="0.25">
      <c r="B16" s="2"/>
      <c r="C16" s="2"/>
      <c r="D16" s="53"/>
      <c r="E16" s="46" t="s">
        <v>271</v>
      </c>
      <c r="F16" s="46" t="s">
        <v>214</v>
      </c>
      <c r="G16" s="67"/>
      <c r="H16" s="123"/>
      <c r="I16" s="67"/>
      <c r="J16" s="123"/>
      <c r="K16" s="67"/>
      <c r="L16" s="123"/>
      <c r="M16" s="67"/>
      <c r="N16" s="123"/>
      <c r="O16" s="67"/>
      <c r="P16" s="123"/>
      <c r="Q16" s="67"/>
      <c r="R16" s="123"/>
      <c r="S16" s="67"/>
      <c r="T16" s="123"/>
      <c r="U16" s="67"/>
      <c r="V16" s="123"/>
      <c r="W16" s="67"/>
      <c r="X16" s="123"/>
      <c r="Y16" s="67"/>
      <c r="Z16" s="123"/>
      <c r="AA16" s="67"/>
      <c r="AB16" s="123"/>
      <c r="AC16" s="67"/>
      <c r="AD16" s="123"/>
      <c r="AE16" s="67"/>
      <c r="AF16" s="123"/>
      <c r="AG16" s="67"/>
      <c r="AH16" s="123"/>
      <c r="AI16" s="67"/>
      <c r="AJ16" s="123"/>
      <c r="AK16" s="67"/>
      <c r="AL16" s="123"/>
      <c r="AM16" s="67">
        <v>58.333333333333329</v>
      </c>
      <c r="AN16" s="123"/>
      <c r="AO16" s="67">
        <v>29.506570790974468</v>
      </c>
      <c r="AP16" s="123"/>
      <c r="AQ16" s="68">
        <v>11</v>
      </c>
      <c r="AR16" s="123"/>
      <c r="AS16" s="41">
        <v>4.5380306024860246</v>
      </c>
      <c r="AT16" s="123"/>
      <c r="AU16" s="97">
        <v>1.7895146787140361</v>
      </c>
      <c r="AV16" s="123"/>
      <c r="AW16" s="41">
        <v>1.9122886688310956</v>
      </c>
      <c r="AX16" s="123"/>
      <c r="AY16" s="123"/>
      <c r="AZ16" s="41">
        <v>0</v>
      </c>
      <c r="BA16" s="123"/>
      <c r="BB16" s="41">
        <v>1.7326732673267324</v>
      </c>
      <c r="BC16" s="123"/>
      <c r="BD16" s="106">
        <v>1</v>
      </c>
      <c r="BF16" s="41">
        <v>0</v>
      </c>
      <c r="BH16" s="41">
        <v>0</v>
      </c>
      <c r="BJ16" s="41">
        <v>4.2857142857142856</v>
      </c>
      <c r="BL16" s="41" t="s">
        <v>172</v>
      </c>
      <c r="BN16" s="41">
        <v>38.421052631578952</v>
      </c>
      <c r="BP16" s="37">
        <v>33</v>
      </c>
      <c r="BR16" s="117">
        <v>27.540106951871657</v>
      </c>
      <c r="BT16" s="117">
        <v>22.448979591836739</v>
      </c>
      <c r="BV16" s="117">
        <v>21.451104100946374</v>
      </c>
      <c r="BX16" s="97">
        <v>10.344827586206899</v>
      </c>
    </row>
    <row r="17" spans="1:76" ht="15" x14ac:dyDescent="0.25">
      <c r="B17" s="2"/>
      <c r="C17" s="2"/>
      <c r="D17" s="53"/>
      <c r="E17" s="46" t="s">
        <v>272</v>
      </c>
      <c r="F17" s="46" t="s">
        <v>223</v>
      </c>
      <c r="G17" s="67"/>
      <c r="H17" s="123"/>
      <c r="I17" s="67"/>
      <c r="J17" s="123"/>
      <c r="K17" s="67"/>
      <c r="L17" s="123"/>
      <c r="M17" s="67"/>
      <c r="N17" s="123"/>
      <c r="O17" s="67"/>
      <c r="P17" s="123"/>
      <c r="Q17" s="67"/>
      <c r="R17" s="123"/>
      <c r="S17" s="67"/>
      <c r="T17" s="123"/>
      <c r="U17" s="67"/>
      <c r="V17" s="123"/>
      <c r="W17" s="67"/>
      <c r="X17" s="123"/>
      <c r="Y17" s="67"/>
      <c r="Z17" s="123"/>
      <c r="AA17" s="67"/>
      <c r="AB17" s="123"/>
      <c r="AC17" s="67"/>
      <c r="AD17" s="123"/>
      <c r="AE17" s="67"/>
      <c r="AF17" s="123"/>
      <c r="AG17" s="67"/>
      <c r="AH17" s="123"/>
      <c r="AI17" s="67"/>
      <c r="AJ17" s="123"/>
      <c r="AK17" s="67"/>
      <c r="AL17" s="123"/>
      <c r="AM17" s="67">
        <v>8.7349397590361448</v>
      </c>
      <c r="AN17" s="123"/>
      <c r="AO17" s="67">
        <v>11.802628316389788</v>
      </c>
      <c r="AP17" s="123"/>
      <c r="AQ17" s="68">
        <v>10</v>
      </c>
      <c r="AR17" s="123"/>
      <c r="AS17" s="41">
        <v>9.0174337229541575</v>
      </c>
      <c r="AT17" s="123"/>
      <c r="AU17" s="97">
        <v>4.4789602716042491</v>
      </c>
      <c r="AV17" s="123"/>
      <c r="AW17" s="41">
        <v>4.0257315782589567</v>
      </c>
      <c r="AX17" s="123"/>
      <c r="AY17" s="123"/>
      <c r="AZ17" s="41">
        <v>2.6726057906458793</v>
      </c>
      <c r="BA17" s="123"/>
      <c r="BB17" s="41">
        <v>8.1683168316831694</v>
      </c>
      <c r="BC17" s="123"/>
      <c r="BD17" s="106">
        <v>9</v>
      </c>
      <c r="BF17" s="41">
        <v>6.666666666666667</v>
      </c>
      <c r="BH17" s="41">
        <v>10</v>
      </c>
      <c r="BJ17" s="41">
        <v>15.476190476190476</v>
      </c>
      <c r="BL17" s="41">
        <v>21.288515406162468</v>
      </c>
      <c r="BN17" s="41">
        <v>24.473684210526322</v>
      </c>
      <c r="BP17" s="37">
        <v>21</v>
      </c>
      <c r="BR17" s="117">
        <v>27.27272727272727</v>
      </c>
      <c r="BT17" s="117">
        <v>25.655976676384839</v>
      </c>
      <c r="BV17" s="117">
        <v>26.813880126182969</v>
      </c>
      <c r="BX17" s="97">
        <v>25.078369905956109</v>
      </c>
    </row>
    <row r="18" spans="1:76" ht="15" x14ac:dyDescent="0.25">
      <c r="B18" s="2"/>
      <c r="C18" s="2"/>
      <c r="D18" s="53"/>
      <c r="E18" s="46" t="s">
        <v>273</v>
      </c>
      <c r="F18" s="46" t="s">
        <v>274</v>
      </c>
      <c r="G18" s="67"/>
      <c r="H18" s="123"/>
      <c r="I18" s="67"/>
      <c r="J18" s="123"/>
      <c r="K18" s="67"/>
      <c r="L18" s="123"/>
      <c r="M18" s="67"/>
      <c r="N18" s="123"/>
      <c r="O18" s="67"/>
      <c r="P18" s="123"/>
      <c r="Q18" s="67"/>
      <c r="R18" s="123"/>
      <c r="S18" s="67"/>
      <c r="T18" s="123"/>
      <c r="U18" s="67"/>
      <c r="V18" s="123"/>
      <c r="W18" s="67"/>
      <c r="X18" s="123"/>
      <c r="Y18" s="67"/>
      <c r="Z18" s="123"/>
      <c r="AA18" s="67"/>
      <c r="AB18" s="123"/>
      <c r="AC18" s="67"/>
      <c r="AD18" s="123"/>
      <c r="AE18" s="67"/>
      <c r="AF18" s="123"/>
      <c r="AG18" s="67"/>
      <c r="AH18" s="123"/>
      <c r="AI18" s="67"/>
      <c r="AJ18" s="123"/>
      <c r="AK18" s="67"/>
      <c r="AL18" s="123"/>
      <c r="AM18" s="67">
        <v>5.7228915662650603</v>
      </c>
      <c r="AN18" s="123"/>
      <c r="AO18" s="67">
        <v>9.1891891891891895</v>
      </c>
      <c r="AP18" s="123"/>
      <c r="AQ18" s="68">
        <v>9</v>
      </c>
      <c r="AR18" s="123"/>
      <c r="AS18" s="41">
        <v>9.0174337229541575</v>
      </c>
      <c r="AT18" s="123"/>
      <c r="AU18" s="97">
        <v>4</v>
      </c>
      <c r="AV18" s="123"/>
      <c r="AW18" s="41">
        <v>4.0257315782589576</v>
      </c>
      <c r="AX18" s="123"/>
      <c r="AY18" s="123"/>
      <c r="AZ18" s="41">
        <v>1.7817371937639197</v>
      </c>
      <c r="BA18" s="123"/>
      <c r="BB18" s="41">
        <v>7.4257425742574252</v>
      </c>
      <c r="BC18" s="123"/>
      <c r="BD18" s="106">
        <v>8</v>
      </c>
      <c r="BF18" s="41">
        <v>6.4197530864197532</v>
      </c>
      <c r="BH18" s="41">
        <v>8.2051282051282044</v>
      </c>
      <c r="BJ18" s="41">
        <v>11.666666666666668</v>
      </c>
      <c r="BL18" s="41" t="s">
        <v>172</v>
      </c>
      <c r="BN18" s="41">
        <v>77.368421052631604</v>
      </c>
      <c r="BP18" s="37">
        <v>79</v>
      </c>
      <c r="BR18" s="117">
        <v>66.042780748663105</v>
      </c>
      <c r="BT18" s="117">
        <v>58.017492711370267</v>
      </c>
      <c r="BV18" s="117">
        <v>70.977917981072551</v>
      </c>
      <c r="BX18" s="97">
        <v>42.946708463949847</v>
      </c>
    </row>
    <row r="19" spans="1:76" ht="15" x14ac:dyDescent="0.25">
      <c r="B19" s="2"/>
      <c r="C19" s="2"/>
      <c r="D19" s="53"/>
      <c r="E19" s="46" t="s">
        <v>68</v>
      </c>
      <c r="F19" s="46" t="s">
        <v>224</v>
      </c>
      <c r="G19" s="67"/>
      <c r="H19" s="123"/>
      <c r="I19" s="67"/>
      <c r="J19" s="123"/>
      <c r="K19" s="67"/>
      <c r="L19" s="123"/>
      <c r="M19" s="67"/>
      <c r="N19" s="123"/>
      <c r="O19" s="67"/>
      <c r="P19" s="123"/>
      <c r="Q19" s="67"/>
      <c r="R19" s="123"/>
      <c r="S19" s="67"/>
      <c r="T19" s="123"/>
      <c r="U19" s="67"/>
      <c r="V19" s="123"/>
      <c r="W19" s="67"/>
      <c r="X19" s="123"/>
      <c r="Y19" s="67"/>
      <c r="Z19" s="123"/>
      <c r="AA19" s="67"/>
      <c r="AB19" s="123"/>
      <c r="AC19" s="67"/>
      <c r="AD19" s="123"/>
      <c r="AE19" s="67"/>
      <c r="AF19" s="123"/>
      <c r="AG19" s="67"/>
      <c r="AH19" s="123"/>
      <c r="AI19" s="67"/>
      <c r="AJ19" s="123"/>
      <c r="AK19" s="67"/>
      <c r="AL19" s="123"/>
      <c r="AM19" s="67">
        <v>12.804878048780488</v>
      </c>
      <c r="AN19" s="123"/>
      <c r="AO19" s="67">
        <v>9.520331141952763</v>
      </c>
      <c r="AP19" s="123"/>
      <c r="AQ19" s="68">
        <v>5</v>
      </c>
      <c r="AR19" s="123"/>
      <c r="AS19" s="41">
        <v>0.91391116619340684</v>
      </c>
      <c r="AT19" s="123"/>
      <c r="AU19" s="97">
        <v>56.369712379492128</v>
      </c>
      <c r="AV19" s="123"/>
      <c r="AW19" s="41">
        <v>73.325825175430992</v>
      </c>
      <c r="AX19" s="123"/>
      <c r="AY19" s="123"/>
      <c r="AZ19" s="41">
        <v>84.187082405345208</v>
      </c>
      <c r="BA19" s="123"/>
      <c r="BB19" s="41">
        <v>89.851485148514854</v>
      </c>
      <c r="BC19" s="123"/>
      <c r="BD19" s="106">
        <v>92</v>
      </c>
      <c r="BF19" s="41">
        <v>96.049382716049365</v>
      </c>
      <c r="BH19" s="41">
        <v>100</v>
      </c>
      <c r="BJ19" s="41">
        <v>97.38095238095238</v>
      </c>
      <c r="BL19" s="41">
        <v>100</v>
      </c>
      <c r="BN19" s="41">
        <v>68.421052631578959</v>
      </c>
      <c r="BP19" s="37">
        <v>51</v>
      </c>
      <c r="BR19" s="117">
        <v>69.518716577540104</v>
      </c>
      <c r="BT19" s="117">
        <v>45.772594752186599</v>
      </c>
      <c r="BV19" s="117">
        <v>41.640378548895903</v>
      </c>
      <c r="BX19" s="97">
        <v>33.855799373040753</v>
      </c>
    </row>
    <row r="20" spans="1:76" ht="15.75" thickBot="1" x14ac:dyDescent="0.3">
      <c r="B20" s="2"/>
      <c r="C20" s="2"/>
      <c r="D20" s="53"/>
      <c r="E20" s="46" t="s">
        <v>275</v>
      </c>
      <c r="F20" s="46" t="s">
        <v>216</v>
      </c>
      <c r="G20" s="72"/>
      <c r="H20" s="124"/>
      <c r="I20" s="72"/>
      <c r="J20" s="124"/>
      <c r="K20" s="72"/>
      <c r="L20" s="124"/>
      <c r="M20" s="72"/>
      <c r="N20" s="124"/>
      <c r="O20" s="72"/>
      <c r="P20" s="124"/>
      <c r="Q20" s="72"/>
      <c r="R20" s="124"/>
      <c r="S20" s="72"/>
      <c r="T20" s="124"/>
      <c r="U20" s="72"/>
      <c r="V20" s="124"/>
      <c r="W20" s="72"/>
      <c r="X20" s="124"/>
      <c r="Y20" s="72"/>
      <c r="Z20" s="124"/>
      <c r="AA20" s="72"/>
      <c r="AB20" s="124"/>
      <c r="AC20" s="72"/>
      <c r="AD20" s="124"/>
      <c r="AE20" s="72"/>
      <c r="AF20" s="124"/>
      <c r="AG20" s="72"/>
      <c r="AH20" s="124"/>
      <c r="AI20" s="72"/>
      <c r="AJ20" s="124"/>
      <c r="AK20" s="72"/>
      <c r="AL20" s="124"/>
      <c r="AM20" s="72">
        <v>3.9156626506024099</v>
      </c>
      <c r="AN20" s="124"/>
      <c r="AO20" s="72">
        <v>4.5945945945945947</v>
      </c>
      <c r="AP20" s="124"/>
      <c r="AQ20" s="72">
        <v>3</v>
      </c>
      <c r="AR20" s="124"/>
      <c r="AS20" s="41">
        <v>1.8786320256154498</v>
      </c>
      <c r="AT20" s="124"/>
      <c r="AU20" s="97">
        <v>7</v>
      </c>
      <c r="AV20" s="124"/>
      <c r="AW20" s="41">
        <v>4.0257315782589576</v>
      </c>
      <c r="AX20" s="124"/>
      <c r="AY20" s="124"/>
      <c r="AZ20" s="41">
        <v>2.0044543429844097</v>
      </c>
      <c r="BA20" s="124"/>
      <c r="BB20" s="41">
        <v>21.78217821782178</v>
      </c>
      <c r="BC20" s="124"/>
      <c r="BD20" s="106">
        <v>25</v>
      </c>
      <c r="BF20" s="41">
        <v>22.469135802469133</v>
      </c>
      <c r="BH20" s="41">
        <v>33.333333333333329</v>
      </c>
      <c r="BJ20" s="41">
        <v>36.190476190476197</v>
      </c>
      <c r="BL20" s="41" t="s">
        <v>172</v>
      </c>
      <c r="BN20" s="41">
        <v>31.05263157894737</v>
      </c>
      <c r="BP20" s="37">
        <v>30</v>
      </c>
      <c r="BR20" s="117">
        <v>25.133689839572192</v>
      </c>
      <c r="BT20" s="117">
        <v>39.941690962099131</v>
      </c>
      <c r="BV20" s="117">
        <v>40.378548895899058</v>
      </c>
      <c r="BX20" s="97">
        <v>46.081504702194366</v>
      </c>
    </row>
    <row r="21" spans="1:76" ht="13.5" customHeigh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76" ht="26.25" thickBot="1" x14ac:dyDescent="0.25">
      <c r="A22" s="138" t="s">
        <v>154</v>
      </c>
      <c r="B22" s="138"/>
      <c r="C22" s="120"/>
      <c r="D22" s="120"/>
      <c r="E22" s="2"/>
      <c r="F22" s="2"/>
      <c r="G22" s="125" t="s">
        <v>74</v>
      </c>
      <c r="H22" s="126"/>
      <c r="I22" s="126" t="s">
        <v>75</v>
      </c>
      <c r="J22" s="126"/>
      <c r="K22" s="126" t="s">
        <v>76</v>
      </c>
      <c r="L22" s="126"/>
      <c r="M22" s="126" t="s">
        <v>77</v>
      </c>
      <c r="N22" s="126"/>
      <c r="O22" s="125" t="s">
        <v>78</v>
      </c>
      <c r="P22" s="126"/>
      <c r="Q22" s="126" t="s">
        <v>79</v>
      </c>
      <c r="R22" s="126"/>
      <c r="S22" s="126" t="s">
        <v>80</v>
      </c>
      <c r="T22" s="126"/>
      <c r="U22" s="126" t="s">
        <v>81</v>
      </c>
      <c r="V22" s="126"/>
      <c r="W22" s="125" t="s">
        <v>82</v>
      </c>
      <c r="X22" s="126"/>
      <c r="Y22" s="126" t="s">
        <v>83</v>
      </c>
      <c r="Z22" s="126"/>
      <c r="AA22" s="126" t="s">
        <v>84</v>
      </c>
      <c r="AB22" s="126"/>
      <c r="AC22" s="126" t="s">
        <v>85</v>
      </c>
      <c r="AD22" s="126"/>
      <c r="AE22" s="125" t="s">
        <v>86</v>
      </c>
      <c r="AF22" s="126"/>
      <c r="AG22" s="126" t="s">
        <v>87</v>
      </c>
      <c r="AH22" s="126"/>
      <c r="AI22" s="126" t="s">
        <v>88</v>
      </c>
      <c r="AJ22" s="126"/>
      <c r="AK22" s="126" t="s">
        <v>89</v>
      </c>
      <c r="AL22" s="126"/>
      <c r="AM22" s="125" t="s">
        <v>90</v>
      </c>
      <c r="AN22" s="126"/>
      <c r="AO22" s="126" t="s">
        <v>91</v>
      </c>
      <c r="AP22" s="126"/>
      <c r="AQ22" s="126" t="s">
        <v>92</v>
      </c>
      <c r="AR22" s="126"/>
      <c r="AS22" s="121" t="s">
        <v>93</v>
      </c>
      <c r="AT22" s="121"/>
      <c r="AU22" s="121" t="s">
        <v>155</v>
      </c>
      <c r="AV22" s="121"/>
      <c r="AW22" s="121" t="s">
        <v>160</v>
      </c>
      <c r="AX22" s="121"/>
      <c r="AY22" s="121" t="s">
        <v>173</v>
      </c>
      <c r="AZ22" s="121"/>
      <c r="BA22" s="121" t="s">
        <v>174</v>
      </c>
      <c r="BB22" s="121"/>
      <c r="BC22" s="121" t="s">
        <v>181</v>
      </c>
      <c r="BD22" s="121"/>
      <c r="BE22" s="121" t="s">
        <v>186</v>
      </c>
      <c r="BF22" s="121"/>
      <c r="BG22" s="121" t="s">
        <v>196</v>
      </c>
      <c r="BH22" s="121"/>
      <c r="BI22" s="121" t="s">
        <v>198</v>
      </c>
      <c r="BJ22" s="121"/>
      <c r="BK22" s="121" t="s">
        <v>202</v>
      </c>
      <c r="BL22" s="121"/>
      <c r="BM22" s="121" t="s">
        <v>210</v>
      </c>
      <c r="BN22" s="121"/>
      <c r="BO22" s="121" t="s">
        <v>244</v>
      </c>
      <c r="BP22" s="121"/>
      <c r="BQ22" s="121" t="s">
        <v>249</v>
      </c>
      <c r="BR22" s="121"/>
      <c r="BS22" s="121" t="s">
        <v>255</v>
      </c>
      <c r="BT22" s="121"/>
      <c r="BU22" s="121" t="s">
        <v>301</v>
      </c>
      <c r="BV22" s="121"/>
      <c r="BW22" s="121" t="s">
        <v>305</v>
      </c>
      <c r="BX22" s="121"/>
    </row>
    <row r="23" spans="1:76" ht="27.75" customHeight="1" x14ac:dyDescent="0.2">
      <c r="A23" s="75" t="s">
        <v>139</v>
      </c>
      <c r="B23" s="75" t="s">
        <v>140</v>
      </c>
      <c r="C23" s="75" t="s">
        <v>141</v>
      </c>
      <c r="D23" s="75" t="s">
        <v>142</v>
      </c>
      <c r="E23" s="39" t="s">
        <v>73</v>
      </c>
      <c r="F23" s="40" t="s">
        <v>0</v>
      </c>
      <c r="G23" s="73" t="s">
        <v>139</v>
      </c>
      <c r="H23" s="73" t="s">
        <v>140</v>
      </c>
      <c r="I23" s="73" t="s">
        <v>139</v>
      </c>
      <c r="J23" s="73" t="s">
        <v>140</v>
      </c>
      <c r="K23" s="73" t="s">
        <v>139</v>
      </c>
      <c r="L23" s="73" t="s">
        <v>140</v>
      </c>
      <c r="M23" s="73" t="s">
        <v>139</v>
      </c>
      <c r="N23" s="73" t="s">
        <v>140</v>
      </c>
      <c r="O23" s="73" t="s">
        <v>139</v>
      </c>
      <c r="P23" s="73" t="s">
        <v>140</v>
      </c>
      <c r="Q23" s="73" t="s">
        <v>139</v>
      </c>
      <c r="R23" s="73" t="s">
        <v>140</v>
      </c>
      <c r="S23" s="73" t="s">
        <v>139</v>
      </c>
      <c r="T23" s="73" t="s">
        <v>140</v>
      </c>
      <c r="U23" s="73" t="s">
        <v>139</v>
      </c>
      <c r="V23" s="73" t="s">
        <v>140</v>
      </c>
      <c r="W23" s="73" t="s">
        <v>139</v>
      </c>
      <c r="X23" s="73" t="s">
        <v>140</v>
      </c>
      <c r="Y23" s="73" t="s">
        <v>139</v>
      </c>
      <c r="Z23" s="73" t="s">
        <v>140</v>
      </c>
      <c r="AA23" s="73" t="s">
        <v>139</v>
      </c>
      <c r="AB23" s="73" t="s">
        <v>140</v>
      </c>
      <c r="AC23" s="73" t="s">
        <v>139</v>
      </c>
      <c r="AD23" s="73" t="s">
        <v>140</v>
      </c>
      <c r="AE23" s="73" t="s">
        <v>139</v>
      </c>
      <c r="AF23" s="73" t="s">
        <v>140</v>
      </c>
      <c r="AG23" s="73" t="s">
        <v>139</v>
      </c>
      <c r="AH23" s="73" t="s">
        <v>140</v>
      </c>
      <c r="AI23" s="73" t="s">
        <v>139</v>
      </c>
      <c r="AJ23" s="73" t="s">
        <v>140</v>
      </c>
      <c r="AK23" s="73" t="s">
        <v>139</v>
      </c>
      <c r="AL23" s="73" t="s">
        <v>140</v>
      </c>
      <c r="AM23" s="73" t="s">
        <v>139</v>
      </c>
      <c r="AN23" s="73" t="s">
        <v>140</v>
      </c>
      <c r="AO23" s="73" t="s">
        <v>139</v>
      </c>
      <c r="AP23" s="73" t="s">
        <v>140</v>
      </c>
      <c r="AQ23" s="73" t="s">
        <v>139</v>
      </c>
      <c r="AR23" s="90" t="s">
        <v>140</v>
      </c>
      <c r="AS23" s="73" t="s">
        <v>139</v>
      </c>
      <c r="AT23" s="90" t="s">
        <v>140</v>
      </c>
      <c r="AU23" s="73" t="s">
        <v>139</v>
      </c>
      <c r="AV23" s="90" t="s">
        <v>140</v>
      </c>
      <c r="AW23" s="73" t="s">
        <v>139</v>
      </c>
      <c r="AX23" s="90" t="s">
        <v>140</v>
      </c>
      <c r="AY23" s="73" t="s">
        <v>139</v>
      </c>
      <c r="AZ23" s="90" t="s">
        <v>140</v>
      </c>
      <c r="BA23" s="73" t="s">
        <v>139</v>
      </c>
      <c r="BB23" s="90" t="s">
        <v>140</v>
      </c>
      <c r="BC23" s="73" t="s">
        <v>139</v>
      </c>
      <c r="BD23" s="90" t="s">
        <v>140</v>
      </c>
      <c r="BE23" s="73" t="s">
        <v>139</v>
      </c>
      <c r="BF23" s="90" t="s">
        <v>140</v>
      </c>
      <c r="BG23" s="73" t="s">
        <v>139</v>
      </c>
      <c r="BH23" s="90" t="s">
        <v>140</v>
      </c>
      <c r="BI23" s="73" t="s">
        <v>139</v>
      </c>
      <c r="BJ23" s="90" t="s">
        <v>140</v>
      </c>
      <c r="BK23" s="73" t="s">
        <v>139</v>
      </c>
      <c r="BL23" s="90" t="s">
        <v>140</v>
      </c>
      <c r="BM23" s="73" t="s">
        <v>139</v>
      </c>
      <c r="BN23" s="90" t="s">
        <v>140</v>
      </c>
      <c r="BO23" s="73" t="s">
        <v>139</v>
      </c>
      <c r="BP23" s="90" t="s">
        <v>140</v>
      </c>
      <c r="BQ23" s="73" t="s">
        <v>139</v>
      </c>
      <c r="BR23" s="90" t="s">
        <v>140</v>
      </c>
      <c r="BS23" s="73" t="s">
        <v>139</v>
      </c>
      <c r="BT23" s="90" t="s">
        <v>140</v>
      </c>
      <c r="BU23" s="73" t="s">
        <v>139</v>
      </c>
      <c r="BV23" s="90" t="s">
        <v>140</v>
      </c>
      <c r="BW23" s="73" t="s">
        <v>139</v>
      </c>
      <c r="BX23" s="90" t="s">
        <v>140</v>
      </c>
    </row>
    <row r="24" spans="1:76" ht="15" x14ac:dyDescent="0.25">
      <c r="B24" s="2"/>
      <c r="C24" s="2"/>
      <c r="D24" s="2"/>
      <c r="E24" s="46" t="s">
        <v>259</v>
      </c>
      <c r="F24" s="46" t="s">
        <v>260</v>
      </c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41">
        <v>100</v>
      </c>
      <c r="AP24" s="41">
        <v>76.10993657505287</v>
      </c>
      <c r="AQ24" s="41">
        <v>98</v>
      </c>
      <c r="AR24" s="41">
        <v>73</v>
      </c>
      <c r="AS24" s="41">
        <v>100</v>
      </c>
      <c r="AT24" s="41">
        <v>100</v>
      </c>
      <c r="AU24" s="41">
        <v>99.274999999999991</v>
      </c>
      <c r="AV24" s="41">
        <v>100</v>
      </c>
      <c r="AW24" s="41">
        <v>90.461716601534221</v>
      </c>
      <c r="AX24" s="41">
        <v>100</v>
      </c>
      <c r="AY24" s="41">
        <v>81.707317073170714</v>
      </c>
      <c r="AZ24" s="41">
        <v>73.297002724795632</v>
      </c>
      <c r="BA24" s="41">
        <v>88.75</v>
      </c>
      <c r="BB24" s="41">
        <v>92.592592592592581</v>
      </c>
      <c r="BC24" s="107">
        <v>96</v>
      </c>
      <c r="BD24" s="107">
        <v>90</v>
      </c>
      <c r="BE24" s="41">
        <v>89.041095890410972</v>
      </c>
      <c r="BF24" s="41">
        <v>85.843373493975918</v>
      </c>
      <c r="BG24" s="41">
        <v>98.684210526315795</v>
      </c>
      <c r="BH24" s="41">
        <v>83.177570093457945</v>
      </c>
      <c r="BI24" s="41">
        <v>85.526315789473685</v>
      </c>
      <c r="BJ24" s="41">
        <v>84.104046242774572</v>
      </c>
      <c r="BK24" s="41">
        <v>100</v>
      </c>
      <c r="BL24" s="41">
        <v>75.838926174496649</v>
      </c>
      <c r="BM24" s="41">
        <v>80</v>
      </c>
      <c r="BN24" s="13">
        <v>95.555555555555543</v>
      </c>
      <c r="BO24" s="13">
        <v>94</v>
      </c>
      <c r="BP24" s="13">
        <v>100</v>
      </c>
      <c r="BQ24" s="13">
        <v>68.656716417910445</v>
      </c>
      <c r="BR24" s="13">
        <v>82.41042345276874</v>
      </c>
      <c r="BS24" s="13">
        <v>71.875</v>
      </c>
      <c r="BT24" s="13">
        <v>100</v>
      </c>
      <c r="BU24" s="13">
        <v>95</v>
      </c>
      <c r="BV24" s="13">
        <v>100</v>
      </c>
      <c r="BW24" s="97">
        <v>96.666666666666671</v>
      </c>
      <c r="BX24" s="97">
        <v>88.416988416988417</v>
      </c>
    </row>
    <row r="25" spans="1:76" ht="15" x14ac:dyDescent="0.25">
      <c r="B25" s="2"/>
      <c r="C25" s="2"/>
      <c r="D25" s="2"/>
      <c r="E25" s="46" t="s">
        <v>261</v>
      </c>
      <c r="F25" s="46" t="s">
        <v>262</v>
      </c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41">
        <v>71.157495256166996</v>
      </c>
      <c r="AP25" s="41">
        <v>69.930069930069934</v>
      </c>
      <c r="AQ25" s="41">
        <v>58</v>
      </c>
      <c r="AR25" s="41">
        <v>63</v>
      </c>
      <c r="AS25" s="41">
        <v>91.525423728813564</v>
      </c>
      <c r="AT25" s="41">
        <v>89.552238805970148</v>
      </c>
      <c r="AU25" s="41">
        <v>100</v>
      </c>
      <c r="AV25" s="41">
        <v>94.776119402985088</v>
      </c>
      <c r="AW25" s="41">
        <v>60.307811067689478</v>
      </c>
      <c r="AX25" s="41">
        <v>77.056277056277054</v>
      </c>
      <c r="AY25" s="41">
        <v>59.756097560975618</v>
      </c>
      <c r="AZ25" s="41">
        <v>63.215258855585823</v>
      </c>
      <c r="BA25" s="41">
        <v>82.5</v>
      </c>
      <c r="BB25" s="41">
        <v>80.246913580246897</v>
      </c>
      <c r="BC25" s="107">
        <v>79</v>
      </c>
      <c r="BD25" s="107">
        <v>81</v>
      </c>
      <c r="BE25" s="41">
        <v>84.931506849315085</v>
      </c>
      <c r="BF25" s="41">
        <v>74.698795180722897</v>
      </c>
      <c r="BG25" s="41">
        <v>85.526315789473685</v>
      </c>
      <c r="BH25" s="41">
        <v>73.208722741433021</v>
      </c>
      <c r="BI25" s="41">
        <v>65.789473684210535</v>
      </c>
      <c r="BJ25" s="41">
        <v>67.341040462427742</v>
      </c>
      <c r="BK25" s="41">
        <v>76.666666666666686</v>
      </c>
      <c r="BL25" s="41">
        <v>69.46308724832214</v>
      </c>
      <c r="BM25" s="41">
        <v>24.615384615384617</v>
      </c>
      <c r="BN25" s="13">
        <v>12.380952380952378</v>
      </c>
      <c r="BO25" s="13">
        <v>28</v>
      </c>
      <c r="BP25" s="13">
        <v>13</v>
      </c>
      <c r="BQ25" s="13">
        <v>20.8955223880597</v>
      </c>
      <c r="BR25" s="13">
        <v>14.983713355048861</v>
      </c>
      <c r="BS25" s="13">
        <v>7.8124999999999982</v>
      </c>
      <c r="BT25" s="13">
        <v>15.384615384615389</v>
      </c>
      <c r="BU25" s="13">
        <v>30.000000000000004</v>
      </c>
      <c r="BV25" s="13">
        <v>16.923076923076898</v>
      </c>
      <c r="BW25" s="97">
        <v>16.666666666666664</v>
      </c>
      <c r="BX25" s="97">
        <v>10.038610038610038</v>
      </c>
    </row>
    <row r="26" spans="1:76" ht="15" x14ac:dyDescent="0.25">
      <c r="B26" s="2"/>
      <c r="C26" s="2"/>
      <c r="D26" s="2"/>
      <c r="E26" s="46" t="s">
        <v>263</v>
      </c>
      <c r="F26" s="46" t="s">
        <v>2</v>
      </c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41">
        <v>56.451612903225815</v>
      </c>
      <c r="AP26" s="41">
        <v>82.015810276679844</v>
      </c>
      <c r="AQ26" s="41">
        <v>72</v>
      </c>
      <c r="AR26" s="41">
        <v>68</v>
      </c>
      <c r="AS26" s="41">
        <v>52.146508320842457</v>
      </c>
      <c r="AT26" s="41">
        <v>59.917198679654618</v>
      </c>
      <c r="AU26" s="41">
        <v>70.857438016528931</v>
      </c>
      <c r="AV26" s="41">
        <v>51.601277278185542</v>
      </c>
      <c r="AW26" s="41">
        <v>55.319148936170215</v>
      </c>
      <c r="AX26" s="41">
        <v>51.987144895732143</v>
      </c>
      <c r="AY26" s="41">
        <v>62.195121951219512</v>
      </c>
      <c r="AZ26" s="41">
        <v>59.400544959128055</v>
      </c>
      <c r="BA26" s="41">
        <v>43.750000000000007</v>
      </c>
      <c r="BB26" s="41">
        <v>60.185185185185183</v>
      </c>
      <c r="BC26" s="107">
        <v>51</v>
      </c>
      <c r="BD26" s="107">
        <v>68</v>
      </c>
      <c r="BE26" s="41">
        <v>53.424657534246592</v>
      </c>
      <c r="BF26" s="41">
        <v>49.397590361445779</v>
      </c>
      <c r="BG26" s="41">
        <v>44.73684210526315</v>
      </c>
      <c r="BH26" s="41">
        <v>54.205607476635507</v>
      </c>
      <c r="BI26" s="41">
        <v>46.05263157894737</v>
      </c>
      <c r="BJ26" s="41">
        <v>57.514450867052027</v>
      </c>
      <c r="BK26" s="41">
        <v>55.000000000000007</v>
      </c>
      <c r="BL26" s="41">
        <v>63.758389261744966</v>
      </c>
      <c r="BM26" s="41">
        <v>41.53846153846154</v>
      </c>
      <c r="BN26" s="13">
        <v>59.047619047619051</v>
      </c>
      <c r="BO26" s="13">
        <v>58</v>
      </c>
      <c r="BP26" s="13">
        <v>61</v>
      </c>
      <c r="BQ26" s="13">
        <v>58.208955223880587</v>
      </c>
      <c r="BR26" s="13">
        <v>66.123778501628678</v>
      </c>
      <c r="BS26" s="13">
        <v>37.499999999999993</v>
      </c>
      <c r="BT26" s="13">
        <v>63.986013986014001</v>
      </c>
      <c r="BU26" s="13">
        <v>45.000000000000007</v>
      </c>
      <c r="BV26" s="13">
        <v>68.07692307692308</v>
      </c>
      <c r="BW26" s="97">
        <v>40</v>
      </c>
      <c r="BX26" s="97">
        <v>43.243243243243242</v>
      </c>
    </row>
    <row r="27" spans="1:76" ht="15" x14ac:dyDescent="0.25">
      <c r="B27" s="2"/>
      <c r="C27" s="2"/>
      <c r="D27" s="2"/>
      <c r="E27" s="46" t="s">
        <v>58</v>
      </c>
      <c r="F27" s="46" t="s">
        <v>5</v>
      </c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41">
        <v>59.139784946236553</v>
      </c>
      <c r="AP27" s="41">
        <v>100</v>
      </c>
      <c r="AQ27" s="41">
        <v>100</v>
      </c>
      <c r="AR27" s="41">
        <v>100</v>
      </c>
      <c r="AS27" s="41">
        <v>53.130404704254573</v>
      </c>
      <c r="AT27" s="41">
        <v>47.574704569613402</v>
      </c>
      <c r="AU27" s="41">
        <v>54.593572778827983</v>
      </c>
      <c r="AV27" s="41">
        <v>39.266310598141189</v>
      </c>
      <c r="AW27" s="41">
        <v>51.063829787234042</v>
      </c>
      <c r="AX27" s="41">
        <v>43.524121308054816</v>
      </c>
      <c r="AY27" s="41">
        <v>52.439024390243901</v>
      </c>
      <c r="AZ27" s="41">
        <v>52.861035422343328</v>
      </c>
      <c r="BA27" s="41">
        <v>55.000000000000014</v>
      </c>
      <c r="BB27" s="41">
        <v>62.037037037037038</v>
      </c>
      <c r="BC27" s="107">
        <v>56</v>
      </c>
      <c r="BD27" s="107">
        <v>62</v>
      </c>
      <c r="BE27" s="41">
        <v>60.273972602739732</v>
      </c>
      <c r="BF27" s="41">
        <v>59.638554216867476</v>
      </c>
      <c r="BG27" s="41">
        <v>61.842105263157897</v>
      </c>
      <c r="BH27" s="41">
        <v>71.651090342679126</v>
      </c>
      <c r="BI27" s="41">
        <v>51.315789473684212</v>
      </c>
      <c r="BJ27" s="41">
        <v>62.138728323699425</v>
      </c>
      <c r="BK27" s="41">
        <v>73.333333333333357</v>
      </c>
      <c r="BL27" s="41">
        <v>68.120805369127524</v>
      </c>
      <c r="BM27" s="41">
        <v>47.692307692307693</v>
      </c>
      <c r="BN27" s="13">
        <v>66.666666666666657</v>
      </c>
      <c r="BO27" s="13">
        <v>64</v>
      </c>
      <c r="BP27" s="13">
        <v>73</v>
      </c>
      <c r="BQ27" s="13">
        <v>77.611940298507463</v>
      </c>
      <c r="BR27" s="13">
        <v>71.009771986970691</v>
      </c>
      <c r="BS27" s="13">
        <v>32.812499999999993</v>
      </c>
      <c r="BT27" s="13">
        <v>61.188811188811201</v>
      </c>
      <c r="BU27" s="13">
        <v>75.000000000000014</v>
      </c>
      <c r="BV27" s="13">
        <v>70</v>
      </c>
      <c r="BW27" s="97">
        <v>38.333333333333343</v>
      </c>
      <c r="BX27" s="97">
        <v>51.737451737451735</v>
      </c>
    </row>
    <row r="28" spans="1:76" ht="15" x14ac:dyDescent="0.25">
      <c r="B28" s="2"/>
      <c r="C28" s="2"/>
      <c r="D28" s="2"/>
      <c r="E28" s="46" t="s">
        <v>57</v>
      </c>
      <c r="F28" s="46" t="s">
        <v>4</v>
      </c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41">
        <v>48.387096774193552</v>
      </c>
      <c r="AP28" s="41">
        <v>75.268817204301087</v>
      </c>
      <c r="AQ28" s="41">
        <v>72</v>
      </c>
      <c r="AR28" s="41">
        <v>64</v>
      </c>
      <c r="AS28" s="41">
        <v>42.307544486721241</v>
      </c>
      <c r="AT28" s="41">
        <v>49.59438542398378</v>
      </c>
      <c r="AU28" s="41">
        <v>35.258349086326405</v>
      </c>
      <c r="AV28" s="41">
        <v>46.872873384168543</v>
      </c>
      <c r="AW28" s="41">
        <v>46.808510638297875</v>
      </c>
      <c r="AX28" s="41">
        <v>38.446307155448423</v>
      </c>
      <c r="AY28" s="41">
        <v>29.268292682926834</v>
      </c>
      <c r="AZ28" s="41">
        <v>49.591280653950953</v>
      </c>
      <c r="BA28" s="41">
        <v>50</v>
      </c>
      <c r="BB28" s="41">
        <v>67.283950617283949</v>
      </c>
      <c r="BC28" s="107">
        <v>42</v>
      </c>
      <c r="BD28" s="107">
        <v>73</v>
      </c>
      <c r="BE28" s="41">
        <v>53.424657534246577</v>
      </c>
      <c r="BF28" s="41">
        <v>71.98795180722891</v>
      </c>
      <c r="BG28" s="41">
        <v>50</v>
      </c>
      <c r="BH28" s="41">
        <v>66.043613707165107</v>
      </c>
      <c r="BI28" s="41">
        <v>47.368421052631589</v>
      </c>
      <c r="BJ28" s="41">
        <v>65.317919075144502</v>
      </c>
      <c r="BK28" s="41">
        <v>60.000000000000007</v>
      </c>
      <c r="BL28" s="41">
        <v>73.489932885906057</v>
      </c>
      <c r="BM28" s="41">
        <v>70.769230769230774</v>
      </c>
      <c r="BN28" s="13">
        <v>82.857142857142861</v>
      </c>
      <c r="BO28" s="13">
        <v>64</v>
      </c>
      <c r="BP28" s="13">
        <v>69</v>
      </c>
      <c r="BQ28" s="13">
        <v>49.253731343283583</v>
      </c>
      <c r="BR28" s="13">
        <v>63.517915309446259</v>
      </c>
      <c r="BS28" s="13">
        <v>45.312499999999993</v>
      </c>
      <c r="BT28" s="13">
        <v>61.188811188811201</v>
      </c>
      <c r="BU28" s="13">
        <v>50</v>
      </c>
      <c r="BV28" s="13">
        <v>63.84615384615384</v>
      </c>
      <c r="BW28" s="97">
        <v>40</v>
      </c>
      <c r="BX28" s="97">
        <v>61.003861003861005</v>
      </c>
    </row>
    <row r="29" spans="1:76" ht="15" x14ac:dyDescent="0.25">
      <c r="B29" s="2"/>
      <c r="C29" s="2"/>
      <c r="D29" s="2"/>
      <c r="E29" s="46" t="s">
        <v>61</v>
      </c>
      <c r="F29" s="46" t="s">
        <v>8</v>
      </c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41">
        <v>53.763440860215049</v>
      </c>
      <c r="AP29" s="41">
        <v>48.87585532746823</v>
      </c>
      <c r="AQ29" s="41">
        <v>44</v>
      </c>
      <c r="AR29" s="41">
        <v>42</v>
      </c>
      <c r="AS29" s="41">
        <v>65.921057688612166</v>
      </c>
      <c r="AT29" s="41">
        <v>56.577776438246644</v>
      </c>
      <c r="AU29" s="41">
        <v>87.577189666036546</v>
      </c>
      <c r="AV29" s="41">
        <v>65.375323404235061</v>
      </c>
      <c r="AW29" s="41">
        <v>100</v>
      </c>
      <c r="AX29" s="41">
        <v>82.695830485304171</v>
      </c>
      <c r="AY29" s="41">
        <v>100</v>
      </c>
      <c r="AZ29" s="41">
        <v>100</v>
      </c>
      <c r="BA29" s="41">
        <v>100</v>
      </c>
      <c r="BB29" s="41">
        <v>100</v>
      </c>
      <c r="BC29" s="107">
        <v>100</v>
      </c>
      <c r="BD29" s="107">
        <v>100</v>
      </c>
      <c r="BE29" s="41">
        <v>100</v>
      </c>
      <c r="BF29" s="41">
        <v>100</v>
      </c>
      <c r="BG29" s="41">
        <v>100</v>
      </c>
      <c r="BH29" s="41">
        <v>96.884735202492223</v>
      </c>
      <c r="BI29" s="41">
        <v>97.368421052631575</v>
      </c>
      <c r="BJ29" s="41">
        <v>100</v>
      </c>
      <c r="BK29" s="41">
        <v>95</v>
      </c>
      <c r="BL29" s="41">
        <v>86.577181208053702</v>
      </c>
      <c r="BM29" s="41">
        <v>100</v>
      </c>
      <c r="BN29" s="13">
        <v>100</v>
      </c>
      <c r="BO29" s="13">
        <v>100</v>
      </c>
      <c r="BP29" s="13">
        <v>99</v>
      </c>
      <c r="BQ29" s="13">
        <v>100</v>
      </c>
      <c r="BR29" s="13">
        <v>100</v>
      </c>
      <c r="BS29" s="13">
        <v>100</v>
      </c>
      <c r="BT29" s="13">
        <v>97.552447552447575</v>
      </c>
      <c r="BU29" s="13">
        <v>100</v>
      </c>
      <c r="BV29" s="13">
        <v>94.615384615384613</v>
      </c>
      <c r="BW29" s="97">
        <v>100</v>
      </c>
      <c r="BX29" s="97">
        <v>100</v>
      </c>
    </row>
    <row r="30" spans="1:76" ht="15" x14ac:dyDescent="0.25">
      <c r="B30" s="2"/>
      <c r="C30" s="2"/>
      <c r="D30" s="2"/>
      <c r="E30" s="46" t="s">
        <v>264</v>
      </c>
      <c r="F30" s="46" t="s">
        <v>220</v>
      </c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41">
        <v>42.69449715370019</v>
      </c>
      <c r="AP30" s="41">
        <v>42.383292383292378</v>
      </c>
      <c r="AQ30" s="41">
        <v>42</v>
      </c>
      <c r="AR30" s="41">
        <v>39</v>
      </c>
      <c r="AS30" s="41">
        <v>18.694031284830313</v>
      </c>
      <c r="AT30" s="41">
        <v>25.807033139177083</v>
      </c>
      <c r="AU30" s="41">
        <v>15.923125393824824</v>
      </c>
      <c r="AV30" s="41">
        <v>21.791774468078355</v>
      </c>
      <c r="AW30" s="41">
        <v>23.404255319148938</v>
      </c>
      <c r="AX30" s="41">
        <v>19.26387329284568</v>
      </c>
      <c r="AY30" s="41">
        <v>25.609756097560975</v>
      </c>
      <c r="AZ30" s="41">
        <v>19.891008174386922</v>
      </c>
      <c r="BA30" s="41">
        <v>12.5</v>
      </c>
      <c r="BB30" s="41">
        <v>25.925925925925924</v>
      </c>
      <c r="BC30" s="107">
        <v>27</v>
      </c>
      <c r="BD30" s="107">
        <v>25</v>
      </c>
      <c r="BE30" s="41">
        <v>28.767123287671243</v>
      </c>
      <c r="BF30" s="41">
        <v>32.831325301204828</v>
      </c>
      <c r="BG30" s="41">
        <v>40.789473684210527</v>
      </c>
      <c r="BH30" s="41">
        <v>35.825545171339563</v>
      </c>
      <c r="BI30" s="41">
        <v>51.315789473684212</v>
      </c>
      <c r="BJ30" s="41">
        <v>44.508670520231213</v>
      </c>
      <c r="BK30" s="41">
        <v>58.333333333333336</v>
      </c>
      <c r="BL30" s="41">
        <v>33.892617449664428</v>
      </c>
      <c r="BM30" s="41">
        <v>35.384615384615387</v>
      </c>
      <c r="BN30" s="13">
        <v>41.587301587301589</v>
      </c>
      <c r="BO30" s="13">
        <v>50</v>
      </c>
      <c r="BP30" s="13">
        <v>41</v>
      </c>
      <c r="BQ30" s="13">
        <v>44.776119402985067</v>
      </c>
      <c r="BR30" s="13">
        <v>31.596091205211728</v>
      </c>
      <c r="BS30" s="13">
        <v>21.874999999999996</v>
      </c>
      <c r="BT30" s="13">
        <v>47.902097902097914</v>
      </c>
      <c r="BU30" s="13">
        <v>33.333333333333329</v>
      </c>
      <c r="BV30" s="13">
        <v>47.692307692307693</v>
      </c>
      <c r="BW30" s="97">
        <v>55.000000000000007</v>
      </c>
      <c r="BX30" s="97">
        <v>61.003861003861005</v>
      </c>
    </row>
    <row r="31" spans="1:76" ht="15" x14ac:dyDescent="0.25">
      <c r="B31" s="2"/>
      <c r="C31" s="2"/>
      <c r="D31" s="2"/>
      <c r="E31" s="46" t="s">
        <v>265</v>
      </c>
      <c r="F31" s="46" t="s">
        <v>7</v>
      </c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41">
        <v>59.772296015180245</v>
      </c>
      <c r="AP31" s="41">
        <v>17.10654936461388</v>
      </c>
      <c r="AQ31" s="41">
        <v>33</v>
      </c>
      <c r="AR31" s="41">
        <v>31</v>
      </c>
      <c r="AS31" s="41">
        <v>63.057885168025329</v>
      </c>
      <c r="AT31" s="41">
        <v>72.415522388059699</v>
      </c>
      <c r="AU31" s="41">
        <v>40.853909465020564</v>
      </c>
      <c r="AV31" s="41">
        <v>67</v>
      </c>
      <c r="AW31" s="41">
        <v>41.555851063829792</v>
      </c>
      <c r="AX31" s="41">
        <v>58.418381142949848</v>
      </c>
      <c r="AY31" s="41">
        <v>31.707317073170739</v>
      </c>
      <c r="AZ31" s="41">
        <v>16.893732970027244</v>
      </c>
      <c r="BA31" s="41">
        <v>47.5</v>
      </c>
      <c r="BB31" s="41">
        <v>32.098765432098766</v>
      </c>
      <c r="BC31" s="107">
        <v>46</v>
      </c>
      <c r="BD31" s="107">
        <v>27</v>
      </c>
      <c r="BE31" s="41">
        <v>47.945205479452063</v>
      </c>
      <c r="BF31" s="41">
        <v>26.204819277108438</v>
      </c>
      <c r="BG31" s="41">
        <v>47.368421052631589</v>
      </c>
      <c r="BH31" s="41">
        <v>25.545171339563865</v>
      </c>
      <c r="BI31" s="41">
        <v>31.578947368421051</v>
      </c>
      <c r="BJ31" s="41">
        <v>19.942196531791907</v>
      </c>
      <c r="BK31" s="41">
        <v>40</v>
      </c>
      <c r="BL31" s="41">
        <v>21.476510067114095</v>
      </c>
      <c r="BM31" s="41">
        <v>43.076923076923073</v>
      </c>
      <c r="BN31" s="13">
        <v>25.079365079365079</v>
      </c>
      <c r="BO31" s="13">
        <v>52</v>
      </c>
      <c r="BP31" s="13">
        <v>25</v>
      </c>
      <c r="BQ31" s="13">
        <v>50.74626865671641</v>
      </c>
      <c r="BR31" s="13">
        <v>23.12703583061889</v>
      </c>
      <c r="BS31" s="13">
        <v>28.125000000000007</v>
      </c>
      <c r="BT31" s="13">
        <v>26.923076923076927</v>
      </c>
      <c r="BU31" s="13">
        <v>40</v>
      </c>
      <c r="BV31" s="13">
        <v>24.61538461538462</v>
      </c>
      <c r="BW31" s="97">
        <v>31.666666666666671</v>
      </c>
      <c r="BX31" s="97">
        <v>25.096525096525095</v>
      </c>
    </row>
    <row r="32" spans="1:76" ht="15" x14ac:dyDescent="0.25">
      <c r="B32" s="2"/>
      <c r="C32" s="2"/>
      <c r="D32" s="2"/>
      <c r="E32" s="46" t="s">
        <v>266</v>
      </c>
      <c r="F32" s="46" t="s">
        <v>306</v>
      </c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41">
        <v>16.129032258064512</v>
      </c>
      <c r="AP32" s="41">
        <v>37.634408602150543</v>
      </c>
      <c r="AQ32" s="41">
        <v>58</v>
      </c>
      <c r="AR32" s="41">
        <v>55</v>
      </c>
      <c r="AS32" s="41">
        <v>32.542372881355931</v>
      </c>
      <c r="AT32" s="41">
        <v>26.255851106814948</v>
      </c>
      <c r="AU32" s="41">
        <v>48.906742281033395</v>
      </c>
      <c r="AV32" s="41">
        <v>32.27649614611606</v>
      </c>
      <c r="AW32" s="41">
        <v>34.042553191489368</v>
      </c>
      <c r="AX32" s="41">
        <v>37.962705807581152</v>
      </c>
      <c r="AY32" s="41">
        <v>34.146341463414636</v>
      </c>
      <c r="AZ32" s="41">
        <v>38.964577656675743</v>
      </c>
      <c r="BA32" s="41">
        <v>47.5</v>
      </c>
      <c r="BB32" s="41">
        <v>48.76543209876543</v>
      </c>
      <c r="BC32" s="107">
        <v>41</v>
      </c>
      <c r="BD32" s="107">
        <v>53</v>
      </c>
      <c r="BE32" s="41">
        <v>46.57534246575343</v>
      </c>
      <c r="BF32" s="41">
        <v>44.879518072289166</v>
      </c>
      <c r="BG32" s="41">
        <v>52.631578947368418</v>
      </c>
      <c r="BH32" s="41">
        <v>57.320872274143312</v>
      </c>
      <c r="BI32" s="41">
        <v>68.421052631578945</v>
      </c>
      <c r="BJ32" s="41">
        <v>70.520231213872833</v>
      </c>
      <c r="BK32" s="41">
        <v>81.666666666666671</v>
      </c>
      <c r="BL32" s="41">
        <v>71.812080536912759</v>
      </c>
      <c r="BM32" s="41">
        <v>69.230769230769226</v>
      </c>
      <c r="BN32" s="13">
        <v>66.031746031746025</v>
      </c>
      <c r="BO32" s="13">
        <v>56</v>
      </c>
      <c r="BP32" s="13">
        <v>53</v>
      </c>
      <c r="BQ32" s="13">
        <v>37.31343283582089</v>
      </c>
      <c r="BR32" s="13">
        <v>52.76872964169381</v>
      </c>
      <c r="BS32" s="13">
        <v>14.062500000000004</v>
      </c>
      <c r="BT32" s="13">
        <v>41.258741258741267</v>
      </c>
      <c r="BU32" s="13">
        <v>38.333333333333343</v>
      </c>
      <c r="BV32" s="13">
        <v>50</v>
      </c>
      <c r="BW32" s="97">
        <v>35</v>
      </c>
      <c r="BX32" s="97">
        <v>32.818532818532816</v>
      </c>
    </row>
    <row r="33" spans="2:76" ht="15" x14ac:dyDescent="0.25">
      <c r="B33" s="2"/>
      <c r="C33" s="2"/>
      <c r="D33" s="2"/>
      <c r="E33" s="46" t="s">
        <v>267</v>
      </c>
      <c r="F33" s="46" t="s">
        <v>268</v>
      </c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41">
        <v>37.634408602150501</v>
      </c>
      <c r="AP33" s="42" t="s">
        <v>38</v>
      </c>
      <c r="AQ33" s="41">
        <v>14</v>
      </c>
      <c r="AR33" s="42">
        <v>15</v>
      </c>
      <c r="AS33" s="42">
        <v>9.838963834121218</v>
      </c>
      <c r="AT33" s="42">
        <v>16.034187654563826</v>
      </c>
      <c r="AU33" s="41">
        <v>6.2155647382920103</v>
      </c>
      <c r="AV33" s="41">
        <v>11.923801124042875</v>
      </c>
      <c r="AW33" s="41">
        <v>9.5744680851063837</v>
      </c>
      <c r="AX33" s="41">
        <v>8.2212229137436896</v>
      </c>
      <c r="AY33" s="41">
        <v>1.2195121951219512</v>
      </c>
      <c r="AZ33" s="41">
        <v>10.354223433242508</v>
      </c>
      <c r="BA33" s="41">
        <v>18.75</v>
      </c>
      <c r="BB33" s="41">
        <v>25.308641975308642</v>
      </c>
      <c r="BC33" s="107">
        <v>12</v>
      </c>
      <c r="BD33" s="107">
        <v>20</v>
      </c>
      <c r="BE33" s="41">
        <v>9.5890410958904138</v>
      </c>
      <c r="BF33" s="41">
        <v>11.746987951807229</v>
      </c>
      <c r="BG33" s="41">
        <v>15.789473684210526</v>
      </c>
      <c r="BH33" s="41">
        <v>17.75700934579439</v>
      </c>
      <c r="BI33" s="41">
        <v>10.526315789473685</v>
      </c>
      <c r="BJ33" s="41">
        <v>16.76300578034682</v>
      </c>
      <c r="BK33" s="41">
        <v>6.6666666666666679</v>
      </c>
      <c r="BL33" s="41">
        <v>28.523489932885909</v>
      </c>
      <c r="BM33" s="41">
        <v>46.153846153846153</v>
      </c>
      <c r="BN33" s="13">
        <v>70.476190476190467</v>
      </c>
      <c r="BO33" s="13">
        <v>3</v>
      </c>
      <c r="BP33" s="13">
        <v>8</v>
      </c>
      <c r="BQ33" s="13">
        <v>8.9552238805970124</v>
      </c>
      <c r="BR33" s="13">
        <v>14.65798045602606</v>
      </c>
      <c r="BS33" s="13">
        <v>6.25</v>
      </c>
      <c r="BT33" s="13">
        <v>7.3426573426573434</v>
      </c>
      <c r="BU33" s="13">
        <v>15.000000000000002</v>
      </c>
      <c r="BV33" s="13">
        <v>11.153846153846153</v>
      </c>
      <c r="BW33" s="97">
        <v>11.666666666666666</v>
      </c>
      <c r="BX33" s="97">
        <v>9.2664092664092657</v>
      </c>
    </row>
    <row r="34" spans="2:76" ht="15" x14ac:dyDescent="0.25">
      <c r="B34" s="2"/>
      <c r="C34" s="2"/>
      <c r="D34" s="2"/>
      <c r="E34" s="46" t="s">
        <v>269</v>
      </c>
      <c r="F34" s="46" t="s">
        <v>213</v>
      </c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41">
        <v>26.881720430107524</v>
      </c>
      <c r="AP34" s="41">
        <v>12.487512487512488</v>
      </c>
      <c r="AQ34" s="41">
        <v>12</v>
      </c>
      <c r="AR34" s="41">
        <v>11</v>
      </c>
      <c r="AS34" s="41">
        <v>9.838963834121218</v>
      </c>
      <c r="AT34" s="41">
        <v>10.771631223308695</v>
      </c>
      <c r="AU34" s="41">
        <v>13.648393194706992</v>
      </c>
      <c r="AV34" s="41">
        <v>3.7004900040133055</v>
      </c>
      <c r="AW34" s="41">
        <v>10.638297872340427</v>
      </c>
      <c r="AX34" s="41">
        <v>4.3524121308054822</v>
      </c>
      <c r="AY34" s="41">
        <v>4.8780487804878048</v>
      </c>
      <c r="AZ34" s="41">
        <v>4.0871934604904636</v>
      </c>
      <c r="BA34" s="41">
        <v>15</v>
      </c>
      <c r="BB34" s="41">
        <v>24.074074074074069</v>
      </c>
      <c r="BC34" s="107">
        <v>20</v>
      </c>
      <c r="BD34" s="107">
        <v>20</v>
      </c>
      <c r="BE34" s="41">
        <v>19.178082191780824</v>
      </c>
      <c r="BF34" s="41">
        <v>14.457831325301211</v>
      </c>
      <c r="BG34" s="41">
        <v>5.2631578947368425</v>
      </c>
      <c r="BH34" s="41">
        <v>19.626168224299068</v>
      </c>
      <c r="BI34" s="41">
        <v>6.5789473684210522</v>
      </c>
      <c r="BJ34" s="41">
        <v>15.895953757225431</v>
      </c>
      <c r="BK34" s="41">
        <v>13.333333333333336</v>
      </c>
      <c r="BL34" s="41">
        <v>18.456375838926174</v>
      </c>
      <c r="BM34" s="41">
        <v>40</v>
      </c>
      <c r="BN34" s="13">
        <v>44.44444444444445</v>
      </c>
      <c r="BO34" s="13">
        <v>31</v>
      </c>
      <c r="BP34" s="13">
        <v>32</v>
      </c>
      <c r="BQ34" s="13">
        <v>31.343283582089548</v>
      </c>
      <c r="BR34" s="13">
        <v>31.270358306188921</v>
      </c>
      <c r="BS34" s="13">
        <v>9.3749999999999982</v>
      </c>
      <c r="BT34" s="13">
        <v>19.58041958041958</v>
      </c>
      <c r="BU34" s="13">
        <v>23.333333333333332</v>
      </c>
      <c r="BV34" s="13">
        <v>39.230769230769234</v>
      </c>
      <c r="BW34" s="97">
        <v>25</v>
      </c>
      <c r="BX34" s="97">
        <v>22.779922779922785</v>
      </c>
    </row>
    <row r="35" spans="2:76" ht="15" x14ac:dyDescent="0.25">
      <c r="B35" s="2"/>
      <c r="C35" s="2"/>
      <c r="D35" s="2"/>
      <c r="E35" s="34" t="s">
        <v>71</v>
      </c>
      <c r="F35" s="46" t="s">
        <v>48</v>
      </c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42" t="s">
        <v>38</v>
      </c>
      <c r="AP35" s="41">
        <v>26.881720430107531</v>
      </c>
      <c r="AQ35" s="45">
        <v>32</v>
      </c>
      <c r="AR35" s="41">
        <v>24</v>
      </c>
      <c r="AS35" s="41">
        <v>3.2808945564063956</v>
      </c>
      <c r="AT35" s="41">
        <v>16.492377415036845</v>
      </c>
      <c r="AU35" s="41">
        <v>4.5494643982356644</v>
      </c>
      <c r="AV35" s="41">
        <v>9.0456422320325238</v>
      </c>
      <c r="AW35" s="41">
        <v>12.76595744680851</v>
      </c>
      <c r="AX35" s="41">
        <v>3.868810782938207</v>
      </c>
      <c r="AY35" s="41">
        <v>0</v>
      </c>
      <c r="AZ35" s="41">
        <v>7.6294277929155303</v>
      </c>
      <c r="BA35" s="41">
        <v>5.0000000000000009</v>
      </c>
      <c r="BB35" s="41">
        <v>6.1728395061728394</v>
      </c>
      <c r="BC35" s="107">
        <v>0</v>
      </c>
      <c r="BD35" s="107">
        <v>12</v>
      </c>
      <c r="BE35" s="41">
        <v>4.1095890410958917</v>
      </c>
      <c r="BF35" s="41">
        <v>9.3373493975903621</v>
      </c>
      <c r="BG35" s="41">
        <v>0</v>
      </c>
      <c r="BH35" s="41">
        <v>6.2305295950155761</v>
      </c>
      <c r="BI35" s="41">
        <v>15.789473684210526</v>
      </c>
      <c r="BJ35" s="41">
        <v>13.872832369942198</v>
      </c>
      <c r="BK35" s="41">
        <v>8.3333333333333321</v>
      </c>
      <c r="BL35" s="41">
        <v>11.744966442953022</v>
      </c>
      <c r="BM35" s="41">
        <v>18.46153846153846</v>
      </c>
      <c r="BN35" s="13">
        <v>17.777777777777775</v>
      </c>
      <c r="BO35" s="13">
        <v>6</v>
      </c>
      <c r="BP35" s="13">
        <v>6</v>
      </c>
      <c r="BQ35" s="13">
        <v>17.910447761194025</v>
      </c>
      <c r="BR35" s="13">
        <v>16.938110749185668</v>
      </c>
      <c r="BS35" s="13">
        <v>12.5</v>
      </c>
      <c r="BT35" s="13">
        <v>16.783216783216783</v>
      </c>
      <c r="BU35" s="13">
        <v>20</v>
      </c>
      <c r="BV35" s="13">
        <v>25.769230769230774</v>
      </c>
      <c r="BW35" s="97">
        <v>6.6666666666666679</v>
      </c>
      <c r="BX35" s="97">
        <v>15.444015444015443</v>
      </c>
    </row>
    <row r="36" spans="2:76" ht="45" x14ac:dyDescent="0.25">
      <c r="B36" s="2"/>
      <c r="C36" s="2"/>
      <c r="D36" s="2"/>
      <c r="E36" s="44" t="s">
        <v>270</v>
      </c>
      <c r="F36" s="46" t="s">
        <v>222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41">
        <v>17.281105990783409</v>
      </c>
      <c r="AP36" s="41">
        <v>14.167650531286894</v>
      </c>
      <c r="AQ36" s="74">
        <v>26</v>
      </c>
      <c r="AR36" s="41">
        <v>15</v>
      </c>
      <c r="AS36" s="41">
        <v>6.7796610169491522</v>
      </c>
      <c r="AT36" s="41">
        <v>23.137317737542059</v>
      </c>
      <c r="AU36" s="41">
        <v>0</v>
      </c>
      <c r="AV36" s="41">
        <v>12.08955223880597</v>
      </c>
      <c r="AW36" s="41">
        <v>10.055101958733863</v>
      </c>
      <c r="AX36" s="41">
        <v>18.705009276437849</v>
      </c>
      <c r="AY36" s="41">
        <v>0</v>
      </c>
      <c r="AZ36" s="41">
        <v>0</v>
      </c>
      <c r="BA36" s="41">
        <v>1.2500000000000002</v>
      </c>
      <c r="BB36" s="41">
        <v>3.0864197530864197</v>
      </c>
      <c r="BC36" s="107">
        <v>2</v>
      </c>
      <c r="BD36" s="107">
        <v>2</v>
      </c>
      <c r="BE36" s="41">
        <v>0</v>
      </c>
      <c r="BF36" s="41">
        <v>1.8072289156626513</v>
      </c>
      <c r="BG36" s="41">
        <v>5.2631578947368425</v>
      </c>
      <c r="BH36" s="41">
        <v>1.2461059190031154</v>
      </c>
      <c r="BI36" s="41">
        <v>3.9473684210526314</v>
      </c>
      <c r="BJ36" s="41">
        <v>5.2023121387283249</v>
      </c>
      <c r="BK36" s="41">
        <v>15.000000000000002</v>
      </c>
      <c r="BL36" s="41">
        <v>9.7315436241610733</v>
      </c>
      <c r="BM36" s="41">
        <v>23.076923076923077</v>
      </c>
      <c r="BN36" s="13">
        <v>29.206349206349209</v>
      </c>
      <c r="BO36" s="13">
        <v>14</v>
      </c>
      <c r="BP36" s="13">
        <v>16</v>
      </c>
      <c r="BQ36" s="13">
        <v>8.9552238805970124</v>
      </c>
      <c r="BR36" s="13">
        <v>14.006514657980457</v>
      </c>
      <c r="BS36" s="13">
        <v>3.125</v>
      </c>
      <c r="BT36" s="13">
        <v>9.79020979020979</v>
      </c>
      <c r="BU36" s="13">
        <v>10</v>
      </c>
      <c r="BV36" s="13">
        <v>8.4615384615384617</v>
      </c>
      <c r="BW36" s="97">
        <v>3.3333333333333339</v>
      </c>
      <c r="BX36" s="97">
        <v>8.494208494208495</v>
      </c>
    </row>
    <row r="37" spans="2:76" ht="15" x14ac:dyDescent="0.25">
      <c r="B37" s="2"/>
      <c r="C37" s="2"/>
      <c r="D37" s="2"/>
      <c r="E37" s="46" t="s">
        <v>271</v>
      </c>
      <c r="F37" s="46" t="s">
        <v>214</v>
      </c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41">
        <v>43.01075268817204</v>
      </c>
      <c r="AP37" s="41">
        <v>32.258064516129039</v>
      </c>
      <c r="AQ37" s="41">
        <v>28</v>
      </c>
      <c r="AR37" s="41">
        <v>20</v>
      </c>
      <c r="AS37" s="41">
        <v>6.5084745762711869</v>
      </c>
      <c r="AT37" s="41">
        <v>4.1230768254592691</v>
      </c>
      <c r="AU37" s="41">
        <v>3.4120982986767481</v>
      </c>
      <c r="AV37" s="41">
        <v>1.4692164179104477</v>
      </c>
      <c r="AW37" s="41">
        <v>3.3244680851063828</v>
      </c>
      <c r="AX37" s="41">
        <v>1.2974144365345315</v>
      </c>
      <c r="AY37" s="41">
        <v>0</v>
      </c>
      <c r="AZ37" s="41">
        <v>0</v>
      </c>
      <c r="BA37" s="41">
        <v>0</v>
      </c>
      <c r="BB37" s="41">
        <v>2.1604938271604932</v>
      </c>
      <c r="BC37" s="107">
        <v>2</v>
      </c>
      <c r="BD37" s="107">
        <v>1</v>
      </c>
      <c r="BE37" s="41">
        <v>0</v>
      </c>
      <c r="BF37" s="41">
        <v>0</v>
      </c>
      <c r="BG37" s="41">
        <v>0</v>
      </c>
      <c r="BH37" s="41">
        <v>0</v>
      </c>
      <c r="BI37" s="41">
        <v>3.9473684210526314</v>
      </c>
      <c r="BJ37" s="41">
        <v>4.3352601156069364</v>
      </c>
      <c r="BK37" s="41">
        <v>18.333333333333339</v>
      </c>
      <c r="BL37" s="41">
        <v>7.0469798657718119</v>
      </c>
      <c r="BM37" s="41">
        <v>27.692307692307701</v>
      </c>
      <c r="BN37" s="13">
        <v>40.634920634920633</v>
      </c>
      <c r="BO37" s="13">
        <v>36</v>
      </c>
      <c r="BP37" s="13">
        <v>32</v>
      </c>
      <c r="BQ37" s="13">
        <v>29.850746268656707</v>
      </c>
      <c r="BR37" s="13">
        <v>27.035830618892508</v>
      </c>
      <c r="BS37" s="13">
        <v>7.8124999999999982</v>
      </c>
      <c r="BT37" s="13">
        <v>25.174825174825184</v>
      </c>
      <c r="BU37" s="13">
        <v>16.666666666666664</v>
      </c>
      <c r="BV37" s="13">
        <v>22.307692307692307</v>
      </c>
      <c r="BW37" s="97">
        <v>5</v>
      </c>
      <c r="BX37" s="97">
        <v>11.583011583011583</v>
      </c>
    </row>
    <row r="38" spans="2:76" ht="15" x14ac:dyDescent="0.25">
      <c r="B38" s="2"/>
      <c r="C38" s="2"/>
      <c r="D38" s="2"/>
      <c r="E38" s="46" t="s">
        <v>272</v>
      </c>
      <c r="F38" s="46" t="s">
        <v>223</v>
      </c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41">
        <v>8.0645161290322562</v>
      </c>
      <c r="AP38" s="41">
        <v>7.8201368523949171</v>
      </c>
      <c r="AQ38" s="41">
        <v>4</v>
      </c>
      <c r="AR38" s="41">
        <v>5</v>
      </c>
      <c r="AS38" s="41">
        <v>1.6949152542372881</v>
      </c>
      <c r="AT38" s="41">
        <v>11.042581700541621</v>
      </c>
      <c r="AU38" s="41">
        <v>0</v>
      </c>
      <c r="AV38" s="41">
        <v>5</v>
      </c>
      <c r="AW38" s="41">
        <v>4.5230858300767114</v>
      </c>
      <c r="AX38" s="41">
        <v>3.7294330018939394</v>
      </c>
      <c r="AY38" s="41">
        <v>0</v>
      </c>
      <c r="AZ38" s="41">
        <v>3.2697547683923709</v>
      </c>
      <c r="BA38" s="41">
        <v>2.5000000000000004</v>
      </c>
      <c r="BB38" s="41">
        <v>9.5679012345679002</v>
      </c>
      <c r="BC38" s="107">
        <v>5</v>
      </c>
      <c r="BD38" s="107">
        <v>11</v>
      </c>
      <c r="BE38" s="41">
        <v>5.479452054794522</v>
      </c>
      <c r="BF38" s="41">
        <v>6.9277108433734957</v>
      </c>
      <c r="BG38" s="41">
        <v>10.526315789473685</v>
      </c>
      <c r="BH38" s="41">
        <v>9.6573208722741448</v>
      </c>
      <c r="BI38" s="41">
        <v>21.05263157894737</v>
      </c>
      <c r="BJ38" s="41">
        <v>14.1618497109827</v>
      </c>
      <c r="BK38" s="41">
        <v>25</v>
      </c>
      <c r="BL38" s="41">
        <v>20.469798657718123</v>
      </c>
      <c r="BM38" s="41">
        <v>29.230769230769234</v>
      </c>
      <c r="BN38" s="13">
        <v>23.49206349206349</v>
      </c>
      <c r="BO38" s="13">
        <v>19</v>
      </c>
      <c r="BP38" s="13">
        <v>22</v>
      </c>
      <c r="BQ38" s="13">
        <v>44.776119402985067</v>
      </c>
      <c r="BR38" s="13">
        <v>23.452768729641697</v>
      </c>
      <c r="BS38" s="13">
        <v>20.3125</v>
      </c>
      <c r="BT38" s="13">
        <v>26.223776223776223</v>
      </c>
      <c r="BU38" s="13">
        <v>36.666666666666679</v>
      </c>
      <c r="BV38" s="13">
        <v>24.230769230769234</v>
      </c>
      <c r="BW38" s="97">
        <v>18.333333333333339</v>
      </c>
      <c r="BX38" s="97">
        <v>26.640926640926644</v>
      </c>
    </row>
    <row r="39" spans="2:76" ht="15" x14ac:dyDescent="0.25">
      <c r="B39" s="2"/>
      <c r="C39" s="2"/>
      <c r="D39" s="2"/>
      <c r="E39" s="46" t="s">
        <v>273</v>
      </c>
      <c r="F39" s="46" t="s">
        <v>274</v>
      </c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41">
        <v>8.5388994307400363</v>
      </c>
      <c r="AP39" s="41">
        <v>19.061583577712614</v>
      </c>
      <c r="AQ39" s="41">
        <v>4</v>
      </c>
      <c r="AR39" s="41">
        <v>7</v>
      </c>
      <c r="AS39" s="41">
        <v>3.3898305084745761</v>
      </c>
      <c r="AT39" s="41">
        <v>10.562469452691985</v>
      </c>
      <c r="AU39" s="41">
        <v>0</v>
      </c>
      <c r="AV39" s="41">
        <v>5</v>
      </c>
      <c r="AW39" s="41">
        <v>3.0153905533844747</v>
      </c>
      <c r="AX39" s="41">
        <v>4.2622091450216448</v>
      </c>
      <c r="AY39" s="41">
        <v>0</v>
      </c>
      <c r="AZ39" s="41">
        <v>2.1798365122615806</v>
      </c>
      <c r="BA39" s="41">
        <v>2.5000000000000004</v>
      </c>
      <c r="BB39" s="41">
        <v>8.6419753086419728</v>
      </c>
      <c r="BC39" s="107">
        <v>4</v>
      </c>
      <c r="BD39" s="107">
        <v>8</v>
      </c>
      <c r="BE39" s="41">
        <v>5.479452054794522</v>
      </c>
      <c r="BF39" s="41">
        <v>6.6265060240963862</v>
      </c>
      <c r="BG39" s="41">
        <v>9.2105263157894726</v>
      </c>
      <c r="BH39" s="41">
        <v>7.7881619937694708</v>
      </c>
      <c r="BI39" s="41">
        <v>9.2105263157894726</v>
      </c>
      <c r="BJ39" s="41">
        <v>12.138728323699421</v>
      </c>
      <c r="BK39" s="41">
        <v>30.000000000000004</v>
      </c>
      <c r="BL39" s="41">
        <v>18.456375838926174</v>
      </c>
      <c r="BM39" s="41">
        <v>81.538461538461533</v>
      </c>
      <c r="BN39" s="13">
        <v>76.507936507936506</v>
      </c>
      <c r="BO39" s="13">
        <v>80</v>
      </c>
      <c r="BP39" s="13">
        <v>78</v>
      </c>
      <c r="BQ39" s="13">
        <v>59.701492537313413</v>
      </c>
      <c r="BR39" s="13">
        <v>67.426710097719862</v>
      </c>
      <c r="BS39" s="13">
        <v>43.749999999999993</v>
      </c>
      <c r="BT39" s="13">
        <v>59.790209790209794</v>
      </c>
      <c r="BU39" s="13">
        <v>56.666666666666664</v>
      </c>
      <c r="BV39" s="13">
        <v>73.461538461538453</v>
      </c>
      <c r="BW39" s="97">
        <v>38.333333333333343</v>
      </c>
      <c r="BX39" s="97">
        <v>44.015444015444011</v>
      </c>
    </row>
    <row r="40" spans="2:76" ht="15" x14ac:dyDescent="0.25">
      <c r="B40" s="2"/>
      <c r="C40" s="2"/>
      <c r="D40" s="2"/>
      <c r="E40" s="46" t="s">
        <v>68</v>
      </c>
      <c r="F40" s="46" t="s">
        <v>224</v>
      </c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41">
        <v>13.440860215053762</v>
      </c>
      <c r="AP40" s="41">
        <v>26.973026973026975</v>
      </c>
      <c r="AQ40" s="41">
        <v>12</v>
      </c>
      <c r="AR40" s="41">
        <v>9</v>
      </c>
      <c r="AS40" s="41">
        <v>1.9677927668242439</v>
      </c>
      <c r="AT40" s="41">
        <v>4.488179676378623</v>
      </c>
      <c r="AU40" s="41">
        <v>0</v>
      </c>
      <c r="AV40" s="41">
        <v>1.8502450020066528</v>
      </c>
      <c r="AW40" s="41">
        <v>2.1276595744680855</v>
      </c>
      <c r="AX40" s="41">
        <v>1.4508040436018275</v>
      </c>
      <c r="AY40" s="41">
        <v>2.4390243902439024</v>
      </c>
      <c r="AZ40" s="41">
        <v>1.3623978201634876</v>
      </c>
      <c r="BA40" s="41">
        <v>7.5</v>
      </c>
      <c r="BB40" s="41">
        <v>13.888888888888889</v>
      </c>
      <c r="BC40" s="107">
        <v>10</v>
      </c>
      <c r="BD40" s="107">
        <v>13</v>
      </c>
      <c r="BE40" s="41">
        <v>12.328767123287673</v>
      </c>
      <c r="BF40" s="41">
        <v>5.4216867469879517</v>
      </c>
      <c r="BG40" s="41">
        <v>5.2631578947368425</v>
      </c>
      <c r="BH40" s="41">
        <v>5.9190031152647986</v>
      </c>
      <c r="BI40" s="41">
        <v>5.2631578947368425</v>
      </c>
      <c r="BJ40" s="41">
        <v>4.0462427745664735</v>
      </c>
      <c r="BK40" s="41">
        <v>0</v>
      </c>
      <c r="BL40" s="41">
        <v>8.0536912751677843</v>
      </c>
      <c r="BM40" s="41">
        <v>84.615384615384613</v>
      </c>
      <c r="BN40" s="13">
        <v>65.079365079365076</v>
      </c>
      <c r="BO40" s="13">
        <v>56</v>
      </c>
      <c r="BP40" s="13">
        <v>49</v>
      </c>
      <c r="BQ40" s="13">
        <v>64.179104477611943</v>
      </c>
      <c r="BR40" s="13">
        <v>70.684039087947895</v>
      </c>
      <c r="BS40" s="13">
        <v>53.124999999999986</v>
      </c>
      <c r="BT40" s="13">
        <v>43.006993006993014</v>
      </c>
      <c r="BU40" s="13">
        <v>53.333333333333343</v>
      </c>
      <c r="BV40" s="13">
        <v>38.461538461538467</v>
      </c>
      <c r="BW40" s="97">
        <v>26.666666666666671</v>
      </c>
      <c r="BX40" s="97">
        <v>35.521235521235525</v>
      </c>
    </row>
    <row r="41" spans="2:76" ht="15" x14ac:dyDescent="0.25">
      <c r="B41" s="2"/>
      <c r="C41" s="2"/>
      <c r="D41" s="2"/>
      <c r="E41" s="46" t="s">
        <v>275</v>
      </c>
      <c r="F41" s="46" t="s">
        <v>216</v>
      </c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41">
        <v>18.817204301075268</v>
      </c>
      <c r="AP41" s="41">
        <v>9.2864125122189662</v>
      </c>
      <c r="AQ41" s="41">
        <v>7</v>
      </c>
      <c r="AR41" s="41">
        <v>9</v>
      </c>
      <c r="AS41" s="41">
        <v>1.9677927668242439</v>
      </c>
      <c r="AT41" s="41">
        <v>0.67322695145679345</v>
      </c>
      <c r="AU41" s="41">
        <v>78.478260869565204</v>
      </c>
      <c r="AV41" s="41">
        <v>51.632462686567173</v>
      </c>
      <c r="AW41" s="41">
        <v>75.031397754137132</v>
      </c>
      <c r="AX41" s="41">
        <v>70.605796788622271</v>
      </c>
      <c r="AY41" s="41">
        <v>84.146341463414657</v>
      </c>
      <c r="AZ41" s="41">
        <v>84.196185286103542</v>
      </c>
      <c r="BA41" s="41">
        <v>91.250000000000014</v>
      </c>
      <c r="BB41" s="41">
        <v>89.506172839506178</v>
      </c>
      <c r="BC41" s="107">
        <v>95</v>
      </c>
      <c r="BD41" s="107">
        <v>92</v>
      </c>
      <c r="BE41" s="41">
        <v>98.630136986301395</v>
      </c>
      <c r="BF41" s="41">
        <v>95.481927710843379</v>
      </c>
      <c r="BG41" s="41">
        <v>90.78947368421052</v>
      </c>
      <c r="BH41" s="41">
        <v>100</v>
      </c>
      <c r="BI41" s="41">
        <v>100</v>
      </c>
      <c r="BJ41" s="41">
        <v>96.242774566473983</v>
      </c>
      <c r="BK41" s="41">
        <v>98.333333333333343</v>
      </c>
      <c r="BL41" s="41">
        <v>100</v>
      </c>
      <c r="BM41" s="41">
        <v>29.230769230769234</v>
      </c>
      <c r="BN41" s="13">
        <v>31.428571428571427</v>
      </c>
      <c r="BO41" s="13">
        <v>41</v>
      </c>
      <c r="BP41" s="13">
        <v>27</v>
      </c>
      <c r="BQ41" s="13">
        <v>28.35820895522388</v>
      </c>
      <c r="BR41" s="13">
        <v>24.429967426710096</v>
      </c>
      <c r="BS41" s="13">
        <v>42.1875</v>
      </c>
      <c r="BT41" s="13">
        <v>38.46153846153846</v>
      </c>
      <c r="BU41" s="13">
        <v>46.666666666666664</v>
      </c>
      <c r="BV41" s="13">
        <v>38.461538461538467</v>
      </c>
      <c r="BW41" s="97">
        <v>36.666666666666679</v>
      </c>
      <c r="BX41" s="97">
        <v>48.262548262548258</v>
      </c>
    </row>
    <row r="42" spans="2:76" x14ac:dyDescent="0.2">
      <c r="B42" s="2"/>
      <c r="C42" s="2"/>
      <c r="D42" s="2"/>
    </row>
    <row r="43" spans="2:76" x14ac:dyDescent="0.2">
      <c r="B43" s="2"/>
      <c r="C43" s="2"/>
      <c r="D43" s="2"/>
    </row>
    <row r="44" spans="2:76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2:76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2:76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2:76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2:76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2:23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2:2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2:23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2:23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2:23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2:23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2:23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2:23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2:23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2:23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2:23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2:23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2:23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2:23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2:23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2:23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81" spans="1:42" s="9" customFormat="1" ht="15" x14ac:dyDescent="0.25">
      <c r="A81" s="4" t="s">
        <v>47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42" ht="13.5" thickBot="1" x14ac:dyDescent="0.25"/>
    <row r="83" spans="1:42" x14ac:dyDescent="0.2">
      <c r="A83" s="134" t="s">
        <v>0</v>
      </c>
      <c r="B83" s="136" t="s">
        <v>37</v>
      </c>
      <c r="C83" s="35"/>
      <c r="D83" s="133"/>
      <c r="E83" s="129" t="s">
        <v>50</v>
      </c>
      <c r="F83" s="131" t="s">
        <v>49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</row>
    <row r="84" spans="1:42" ht="31.5" customHeight="1" x14ac:dyDescent="0.2">
      <c r="A84" s="135"/>
      <c r="B84" s="137"/>
      <c r="C84" s="35"/>
      <c r="D84" s="133"/>
      <c r="E84" s="130"/>
      <c r="F84" s="132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spans="1:42" ht="15" x14ac:dyDescent="0.2">
      <c r="A85" s="15" t="s">
        <v>1</v>
      </c>
      <c r="B85" s="41">
        <v>100</v>
      </c>
      <c r="C85" s="54"/>
      <c r="D85" s="54"/>
      <c r="E85" s="47">
        <v>100</v>
      </c>
      <c r="F85" s="16">
        <v>100</v>
      </c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spans="1:42" ht="15" x14ac:dyDescent="0.2">
      <c r="A86" s="15" t="s">
        <v>3</v>
      </c>
      <c r="B86" s="41">
        <v>58.928571428571409</v>
      </c>
      <c r="C86" s="54"/>
      <c r="D86" s="54"/>
      <c r="E86" s="47">
        <v>75.387037522959872</v>
      </c>
      <c r="F86" s="16">
        <v>72</v>
      </c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42" ht="15" x14ac:dyDescent="0.2">
      <c r="A87" s="15" t="s">
        <v>2</v>
      </c>
      <c r="B87" s="41">
        <v>80.555555555555543</v>
      </c>
      <c r="C87" s="54"/>
      <c r="D87" s="54"/>
      <c r="E87" s="47">
        <v>78.108108108108112</v>
      </c>
      <c r="F87" s="16">
        <v>70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42" ht="15" x14ac:dyDescent="0.2">
      <c r="A88" s="15" t="s">
        <v>5</v>
      </c>
      <c r="B88" s="41">
        <v>40.909090909090907</v>
      </c>
      <c r="C88" s="54"/>
      <c r="D88" s="54"/>
      <c r="E88" s="47">
        <v>68.286635259112344</v>
      </c>
      <c r="F88" s="16">
        <v>68</v>
      </c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42" ht="15" x14ac:dyDescent="0.2">
      <c r="A89" s="15" t="s">
        <v>4</v>
      </c>
      <c r="B89" s="41">
        <v>36.05263157894737</v>
      </c>
      <c r="C89" s="54"/>
      <c r="D89" s="54"/>
      <c r="E89" s="47">
        <v>71.195519844168516</v>
      </c>
      <c r="F89" s="16">
        <v>66</v>
      </c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42" ht="15" x14ac:dyDescent="0.2">
      <c r="A90" s="15" t="s">
        <v>8</v>
      </c>
      <c r="B90" s="41">
        <v>25.872093023255811</v>
      </c>
      <c r="C90" s="54"/>
      <c r="D90" s="54"/>
      <c r="E90" s="47">
        <v>40.150961772583393</v>
      </c>
      <c r="F90" s="16">
        <v>55</v>
      </c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42" ht="15" x14ac:dyDescent="0.2">
      <c r="A91" s="15" t="s">
        <v>6</v>
      </c>
      <c r="B91" s="41">
        <v>29.411764705882355</v>
      </c>
      <c r="C91" s="54"/>
      <c r="D91" s="54"/>
      <c r="E91" s="47">
        <v>48.034398034398031</v>
      </c>
      <c r="F91" s="16">
        <v>42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42" ht="15" x14ac:dyDescent="0.2">
      <c r="A92" s="15" t="s">
        <v>7</v>
      </c>
      <c r="B92" s="41">
        <v>25</v>
      </c>
      <c r="C92" s="54"/>
      <c r="D92" s="54"/>
      <c r="E92" s="47">
        <v>45.441045441045446</v>
      </c>
      <c r="F92" s="16">
        <v>39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42" ht="15" x14ac:dyDescent="0.2">
      <c r="A93" s="15" t="s">
        <v>13</v>
      </c>
      <c r="B93" s="41">
        <v>21.220930232558135</v>
      </c>
      <c r="C93" s="54"/>
      <c r="D93" s="54"/>
      <c r="E93" s="47">
        <v>16.971025079133184</v>
      </c>
      <c r="F93" s="16">
        <v>35</v>
      </c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42" ht="15" x14ac:dyDescent="0.2">
      <c r="A94" s="15" t="s">
        <v>11</v>
      </c>
      <c r="B94" s="41">
        <v>20.294117647058822</v>
      </c>
      <c r="C94" s="54"/>
      <c r="D94" s="54"/>
      <c r="E94" s="47">
        <v>28.560993425858292</v>
      </c>
      <c r="F94" s="16">
        <v>23</v>
      </c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</row>
    <row r="95" spans="1:42" ht="15" x14ac:dyDescent="0.2">
      <c r="A95" s="15" t="s">
        <v>9</v>
      </c>
      <c r="B95" s="41">
        <v>17.816091954022987</v>
      </c>
      <c r="C95" s="54"/>
      <c r="D95" s="54"/>
      <c r="E95" s="47">
        <v>31.458485512539575</v>
      </c>
      <c r="F95" s="16">
        <v>19</v>
      </c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</row>
    <row r="96" spans="1:42" ht="15" x14ac:dyDescent="0.2">
      <c r="A96" s="20" t="s">
        <v>48</v>
      </c>
      <c r="B96" s="42" t="s">
        <v>38</v>
      </c>
      <c r="E96" s="48" t="s">
        <v>38</v>
      </c>
      <c r="F96" s="11">
        <v>18</v>
      </c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</row>
    <row r="97" spans="1:40" ht="15" x14ac:dyDescent="0.2">
      <c r="A97" s="17" t="s">
        <v>52</v>
      </c>
      <c r="B97" s="42" t="s">
        <v>38</v>
      </c>
      <c r="D97" s="36"/>
      <c r="E97" s="49">
        <v>15</v>
      </c>
      <c r="F97" s="16">
        <v>17</v>
      </c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spans="1:40" ht="15" x14ac:dyDescent="0.2">
      <c r="A98" s="15" t="s">
        <v>10</v>
      </c>
      <c r="B98" s="41">
        <v>58.333333333333329</v>
      </c>
      <c r="C98" s="54"/>
      <c r="D98" s="54"/>
      <c r="E98" s="47">
        <v>29.506570790974468</v>
      </c>
      <c r="F98" s="16">
        <v>11</v>
      </c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spans="1:40" ht="15" x14ac:dyDescent="0.2">
      <c r="A99" s="15" t="s">
        <v>14</v>
      </c>
      <c r="B99" s="41">
        <v>8.7349397590361448</v>
      </c>
      <c r="C99" s="54"/>
      <c r="D99" s="54"/>
      <c r="E99" s="47">
        <v>11.802628316389788</v>
      </c>
      <c r="F99" s="16">
        <v>10</v>
      </c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</row>
    <row r="100" spans="1:40" ht="15" x14ac:dyDescent="0.2">
      <c r="A100" s="15" t="s">
        <v>16</v>
      </c>
      <c r="B100" s="41">
        <v>5.7228915662650603</v>
      </c>
      <c r="C100" s="54"/>
      <c r="D100" s="54"/>
      <c r="E100" s="47">
        <v>9.1891891891891895</v>
      </c>
      <c r="F100" s="16">
        <v>9</v>
      </c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</row>
    <row r="101" spans="1:40" ht="15" x14ac:dyDescent="0.2">
      <c r="A101" s="15" t="s">
        <v>12</v>
      </c>
      <c r="B101" s="41">
        <v>13.235294117647101</v>
      </c>
      <c r="C101" s="54"/>
      <c r="D101" s="54"/>
      <c r="E101" s="47">
        <v>18.212807401996592</v>
      </c>
      <c r="F101" s="16">
        <v>8</v>
      </c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</row>
    <row r="102" spans="1:40" ht="15" x14ac:dyDescent="0.2">
      <c r="A102" s="15" t="s">
        <v>15</v>
      </c>
      <c r="B102" s="41">
        <v>12.804878048780488</v>
      </c>
      <c r="C102" s="54"/>
      <c r="D102" s="54"/>
      <c r="E102" s="47">
        <v>9.520331141952763</v>
      </c>
      <c r="F102" s="16">
        <v>5</v>
      </c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</row>
    <row r="103" spans="1:40" ht="15.75" thickBot="1" x14ac:dyDescent="0.25">
      <c r="A103" s="21" t="s">
        <v>17</v>
      </c>
      <c r="B103" s="43">
        <v>3.9156626506024099</v>
      </c>
      <c r="C103" s="54"/>
      <c r="D103" s="54"/>
      <c r="E103" s="50">
        <v>4.5945945945945947</v>
      </c>
      <c r="F103" s="22">
        <v>3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5" spans="1:40" x14ac:dyDescent="0.2">
      <c r="D105" s="5"/>
      <c r="E105" s="5"/>
    </row>
    <row r="106" spans="1:40" ht="15" x14ac:dyDescent="0.25">
      <c r="A106" s="4" t="s">
        <v>35</v>
      </c>
      <c r="D106" s="5"/>
      <c r="E106" s="5"/>
    </row>
    <row r="107" spans="1:40" ht="15.75" x14ac:dyDescent="0.25">
      <c r="A107" s="1" t="s">
        <v>24</v>
      </c>
      <c r="D107" s="5"/>
      <c r="E107" s="5"/>
    </row>
    <row r="108" spans="1:40" x14ac:dyDescent="0.2">
      <c r="D108" s="5"/>
      <c r="E108" s="5"/>
    </row>
    <row r="109" spans="1:40" ht="13.5" thickBot="1" x14ac:dyDescent="0.25"/>
    <row r="110" spans="1:40" x14ac:dyDescent="0.2">
      <c r="A110" s="134" t="s">
        <v>0</v>
      </c>
      <c r="B110" s="136" t="s">
        <v>19</v>
      </c>
      <c r="C110" s="35"/>
      <c r="D110" s="133"/>
      <c r="E110" s="127" t="s">
        <v>22</v>
      </c>
      <c r="AA110" s="2"/>
      <c r="AB110" s="2"/>
    </row>
    <row r="111" spans="1:40" ht="31.5" customHeight="1" x14ac:dyDescent="0.2">
      <c r="A111" s="135"/>
      <c r="B111" s="137"/>
      <c r="C111" s="35"/>
      <c r="D111" s="133"/>
      <c r="E111" s="128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1:40" ht="15" x14ac:dyDescent="0.2">
      <c r="A112" s="18" t="s">
        <v>1</v>
      </c>
      <c r="B112" s="41">
        <v>100</v>
      </c>
      <c r="C112" s="54"/>
      <c r="D112" s="37"/>
      <c r="E112" s="51">
        <v>100</v>
      </c>
      <c r="AA112" s="2"/>
      <c r="AB112" s="2"/>
    </row>
    <row r="113" spans="1:28" ht="15" x14ac:dyDescent="0.2">
      <c r="A113" s="18" t="s">
        <v>3</v>
      </c>
      <c r="B113" s="41">
        <v>76.10993657505287</v>
      </c>
      <c r="C113" s="54"/>
      <c r="D113" s="37"/>
      <c r="E113" s="51">
        <v>73</v>
      </c>
      <c r="AA113" s="2"/>
      <c r="AB113" s="2"/>
    </row>
    <row r="114" spans="1:28" ht="15" x14ac:dyDescent="0.2">
      <c r="A114" s="18" t="s">
        <v>2</v>
      </c>
      <c r="B114" s="41">
        <v>82.015810276679844</v>
      </c>
      <c r="C114" s="54"/>
      <c r="D114" s="37"/>
      <c r="E114" s="51">
        <v>68</v>
      </c>
      <c r="AA114" s="2"/>
      <c r="AB114" s="2"/>
    </row>
    <row r="115" spans="1:28" ht="15" x14ac:dyDescent="0.2">
      <c r="A115" s="18" t="s">
        <v>4</v>
      </c>
      <c r="B115" s="41">
        <v>75.268817204301087</v>
      </c>
      <c r="C115" s="54"/>
      <c r="D115" s="37"/>
      <c r="E115" s="51">
        <v>64</v>
      </c>
      <c r="AA115" s="2"/>
      <c r="AB115" s="2"/>
    </row>
    <row r="116" spans="1:28" ht="15" x14ac:dyDescent="0.2">
      <c r="A116" s="18" t="s">
        <v>5</v>
      </c>
      <c r="B116" s="41">
        <v>69.930069930069934</v>
      </c>
      <c r="C116" s="54"/>
      <c r="D116" s="37"/>
      <c r="E116" s="51">
        <v>63</v>
      </c>
      <c r="AA116" s="2"/>
      <c r="AB116" s="2"/>
    </row>
    <row r="117" spans="1:28" ht="15" x14ac:dyDescent="0.2">
      <c r="A117" s="18" t="s">
        <v>8</v>
      </c>
      <c r="B117" s="41">
        <v>37.634408602150543</v>
      </c>
      <c r="C117" s="54"/>
      <c r="D117" s="37"/>
      <c r="E117" s="51">
        <v>55</v>
      </c>
      <c r="AA117" s="2"/>
      <c r="AB117" s="2"/>
    </row>
    <row r="118" spans="1:28" ht="15" x14ac:dyDescent="0.2">
      <c r="A118" s="18" t="s">
        <v>6</v>
      </c>
      <c r="B118" s="41">
        <v>48.87585532746823</v>
      </c>
      <c r="C118" s="54"/>
      <c r="D118" s="37"/>
      <c r="E118" s="51">
        <v>42</v>
      </c>
      <c r="AA118" s="2"/>
      <c r="AB118" s="2"/>
    </row>
    <row r="119" spans="1:28" ht="15" x14ac:dyDescent="0.2">
      <c r="A119" s="18" t="s">
        <v>7</v>
      </c>
      <c r="B119" s="41">
        <v>42.383292383292378</v>
      </c>
      <c r="C119" s="54"/>
      <c r="D119" s="37"/>
      <c r="E119" s="51">
        <v>39</v>
      </c>
      <c r="AA119" s="2"/>
      <c r="AB119" s="2"/>
    </row>
    <row r="120" spans="1:28" ht="15" x14ac:dyDescent="0.2">
      <c r="A120" s="18" t="s">
        <v>13</v>
      </c>
      <c r="B120" s="41">
        <v>17.10654936461388</v>
      </c>
      <c r="C120" s="54"/>
      <c r="D120" s="37"/>
      <c r="E120" s="51">
        <v>31</v>
      </c>
      <c r="AA120" s="2"/>
      <c r="AB120" s="2"/>
    </row>
    <row r="121" spans="1:28" ht="15" x14ac:dyDescent="0.2">
      <c r="A121" s="18" t="s">
        <v>11</v>
      </c>
      <c r="B121" s="41">
        <v>26.881720430107531</v>
      </c>
      <c r="C121" s="54"/>
      <c r="D121" s="37"/>
      <c r="E121" s="51">
        <v>24</v>
      </c>
      <c r="AA121" s="2"/>
      <c r="AB121" s="2"/>
    </row>
    <row r="122" spans="1:28" ht="15" x14ac:dyDescent="0.2">
      <c r="A122" s="18" t="s">
        <v>9</v>
      </c>
      <c r="B122" s="41">
        <v>32.258064516129039</v>
      </c>
      <c r="C122" s="54"/>
      <c r="D122" s="37"/>
      <c r="E122" s="51">
        <v>20</v>
      </c>
      <c r="AA122" s="2"/>
      <c r="AB122" s="2"/>
    </row>
    <row r="123" spans="1:28" ht="15" x14ac:dyDescent="0.2">
      <c r="A123" s="18" t="s">
        <v>20</v>
      </c>
      <c r="B123" s="41">
        <v>14.167650531286894</v>
      </c>
      <c r="C123" s="54"/>
      <c r="D123" s="37"/>
      <c r="E123" s="51">
        <v>15</v>
      </c>
      <c r="AA123" s="2"/>
      <c r="AB123" s="2"/>
    </row>
    <row r="124" spans="1:28" ht="15" x14ac:dyDescent="0.2">
      <c r="A124" s="17" t="s">
        <v>18</v>
      </c>
      <c r="B124" s="42" t="s">
        <v>38</v>
      </c>
      <c r="D124" s="37"/>
      <c r="E124" s="51">
        <v>15</v>
      </c>
      <c r="AA124" s="2"/>
      <c r="AB124" s="2"/>
    </row>
    <row r="125" spans="1:28" ht="15" x14ac:dyDescent="0.2">
      <c r="A125" s="18" t="s">
        <v>14</v>
      </c>
      <c r="B125" s="41">
        <v>12.487512487512488</v>
      </c>
      <c r="C125" s="54"/>
      <c r="D125" s="37"/>
      <c r="E125" s="51">
        <v>11</v>
      </c>
      <c r="AA125" s="2"/>
      <c r="AB125" s="2"/>
    </row>
    <row r="126" spans="1:28" ht="15" x14ac:dyDescent="0.2">
      <c r="A126" s="18" t="s">
        <v>10</v>
      </c>
      <c r="B126" s="41">
        <v>26.973026973026975</v>
      </c>
      <c r="C126" s="54"/>
      <c r="D126" s="37"/>
      <c r="E126" s="51">
        <v>9</v>
      </c>
      <c r="AA126" s="2"/>
      <c r="AB126" s="2"/>
    </row>
    <row r="127" spans="1:28" ht="15" x14ac:dyDescent="0.2">
      <c r="A127" s="18" t="s">
        <v>16</v>
      </c>
      <c r="B127" s="41">
        <v>9.2864125122189662</v>
      </c>
      <c r="C127" s="54"/>
      <c r="D127" s="37"/>
      <c r="E127" s="51">
        <v>9</v>
      </c>
      <c r="AA127" s="2"/>
      <c r="AB127" s="2"/>
    </row>
    <row r="128" spans="1:28" ht="15" x14ac:dyDescent="0.2">
      <c r="A128" s="18" t="s">
        <v>12</v>
      </c>
      <c r="B128" s="41">
        <v>19.061583577712614</v>
      </c>
      <c r="C128" s="54"/>
      <c r="D128" s="37"/>
      <c r="E128" s="51">
        <v>7</v>
      </c>
      <c r="AA128" s="2"/>
      <c r="AB128" s="2"/>
    </row>
    <row r="129" spans="1:51" ht="15" x14ac:dyDescent="0.2">
      <c r="A129" s="18" t="s">
        <v>15</v>
      </c>
      <c r="B129" s="41">
        <v>7.8201368523949171</v>
      </c>
      <c r="C129" s="54"/>
      <c r="D129" s="37"/>
      <c r="E129" s="51">
        <v>5</v>
      </c>
      <c r="AA129" s="2"/>
      <c r="AB129" s="2"/>
    </row>
    <row r="130" spans="1:51" ht="15.75" thickBot="1" x14ac:dyDescent="0.25">
      <c r="A130" s="23" t="s">
        <v>21</v>
      </c>
      <c r="B130" s="43">
        <v>3.4584980237154146</v>
      </c>
      <c r="C130" s="54"/>
      <c r="D130" s="37"/>
      <c r="E130" s="52">
        <v>3</v>
      </c>
    </row>
    <row r="135" spans="1:51" ht="15" x14ac:dyDescent="0.25">
      <c r="A135" s="4" t="s">
        <v>35</v>
      </c>
    </row>
    <row r="136" spans="1:51" ht="15.75" x14ac:dyDescent="0.25">
      <c r="A136" s="1" t="s">
        <v>23</v>
      </c>
    </row>
    <row r="137" spans="1:51" x14ac:dyDescent="0.2">
      <c r="AY137" s="6"/>
    </row>
    <row r="138" spans="1:51" x14ac:dyDescent="0.2">
      <c r="AY138" s="6"/>
    </row>
    <row r="139" spans="1:51" x14ac:dyDescent="0.2">
      <c r="AY139" s="6"/>
    </row>
    <row r="140" spans="1:51" ht="13.5" thickBot="1" x14ac:dyDescent="0.25">
      <c r="AY140" s="6"/>
    </row>
    <row r="141" spans="1:51" x14ac:dyDescent="0.2">
      <c r="A141" s="134" t="s">
        <v>0</v>
      </c>
      <c r="B141" s="136" t="s">
        <v>19</v>
      </c>
      <c r="C141" s="35"/>
      <c r="D141" s="133"/>
      <c r="E141" s="127" t="s">
        <v>22</v>
      </c>
      <c r="AA141" s="2"/>
      <c r="AB141" s="2"/>
      <c r="AY141" s="6"/>
    </row>
    <row r="142" spans="1:51" ht="31.5" customHeight="1" x14ac:dyDescent="0.2">
      <c r="A142" s="135"/>
      <c r="B142" s="137"/>
      <c r="C142" s="35"/>
      <c r="D142" s="133"/>
      <c r="E142" s="128"/>
      <c r="AC142" s="3"/>
      <c r="AD142" s="3"/>
      <c r="AE142" s="3"/>
      <c r="AF142" s="3"/>
      <c r="AG142" s="3"/>
      <c r="AH142" s="3"/>
      <c r="AI142" s="3"/>
      <c r="AJ142" s="3"/>
      <c r="AY142" s="6"/>
    </row>
    <row r="143" spans="1:51" ht="15" x14ac:dyDescent="0.2">
      <c r="A143" s="18" t="s">
        <v>5</v>
      </c>
      <c r="B143" s="41">
        <v>59.139784946236553</v>
      </c>
      <c r="C143" s="54"/>
      <c r="D143" s="37"/>
      <c r="E143" s="51">
        <v>100</v>
      </c>
      <c r="AA143" s="2"/>
      <c r="AB143" s="2"/>
      <c r="AK143" s="6"/>
      <c r="AL143" s="6"/>
      <c r="AM143" s="6"/>
      <c r="AN143" s="6"/>
      <c r="AO143" s="6"/>
      <c r="AP143" s="8" t="s">
        <v>34</v>
      </c>
      <c r="AQ143" s="7" t="s">
        <v>33</v>
      </c>
      <c r="AR143" s="7" t="s">
        <v>32</v>
      </c>
      <c r="AS143" s="6"/>
      <c r="AT143" s="6"/>
      <c r="AU143" s="6"/>
      <c r="AV143" s="6"/>
      <c r="AW143" s="6"/>
      <c r="AX143" s="6"/>
      <c r="AY143" s="6"/>
    </row>
    <row r="144" spans="1:51" ht="38.25" x14ac:dyDescent="0.2">
      <c r="A144" s="19" t="s">
        <v>1</v>
      </c>
      <c r="B144" s="41">
        <v>100</v>
      </c>
      <c r="C144" s="54"/>
      <c r="D144" s="37"/>
      <c r="E144" s="51">
        <v>98</v>
      </c>
      <c r="AA144" s="2"/>
      <c r="AB144" s="2"/>
      <c r="AK144" s="6"/>
      <c r="AL144" s="6"/>
      <c r="AM144" s="6"/>
      <c r="AN144" s="6"/>
      <c r="AO144" s="6"/>
      <c r="AP144" s="11">
        <v>63</v>
      </c>
      <c r="AQ144" s="28" t="s">
        <v>5</v>
      </c>
      <c r="AR144" s="11">
        <v>100</v>
      </c>
      <c r="AS144" s="6"/>
      <c r="AT144" s="6"/>
      <c r="AU144" s="6"/>
      <c r="AV144" s="6"/>
      <c r="AW144" s="6"/>
      <c r="AX144" s="6"/>
      <c r="AY144" s="6"/>
    </row>
    <row r="145" spans="1:51" ht="25.5" x14ac:dyDescent="0.2">
      <c r="A145" s="18" t="s">
        <v>2</v>
      </c>
      <c r="B145" s="41">
        <v>56.451612903225815</v>
      </c>
      <c r="C145" s="54"/>
      <c r="D145" s="37"/>
      <c r="E145" s="51">
        <v>72</v>
      </c>
      <c r="AA145" s="2"/>
      <c r="AB145" s="2"/>
      <c r="AK145" s="6"/>
      <c r="AL145" s="6"/>
      <c r="AM145" s="6"/>
      <c r="AN145" s="6"/>
      <c r="AO145" s="6"/>
      <c r="AP145" s="11">
        <v>100</v>
      </c>
      <c r="AQ145" s="29" t="s">
        <v>1</v>
      </c>
      <c r="AR145" s="11">
        <v>98</v>
      </c>
      <c r="AS145" s="6"/>
      <c r="AT145" s="6"/>
      <c r="AU145" s="6"/>
      <c r="AV145" s="6"/>
      <c r="AW145" s="6"/>
      <c r="AX145" s="6"/>
      <c r="AY145" s="6"/>
    </row>
    <row r="146" spans="1:51" ht="38.25" x14ac:dyDescent="0.2">
      <c r="A146" s="18" t="s">
        <v>4</v>
      </c>
      <c r="B146" s="41">
        <v>48.387096774193552</v>
      </c>
      <c r="C146" s="54"/>
      <c r="D146" s="37"/>
      <c r="E146" s="51">
        <v>72</v>
      </c>
      <c r="AA146" s="2"/>
      <c r="AB146" s="2"/>
      <c r="AK146" s="6"/>
      <c r="AL146" s="6"/>
      <c r="AM146" s="6"/>
      <c r="AN146" s="6"/>
      <c r="AO146" s="6"/>
      <c r="AP146" s="11">
        <v>68</v>
      </c>
      <c r="AQ146" s="28" t="s">
        <v>2</v>
      </c>
      <c r="AR146" s="11">
        <v>72</v>
      </c>
      <c r="AS146" s="6"/>
      <c r="AT146" s="6"/>
      <c r="AU146" s="6"/>
      <c r="AV146" s="6"/>
      <c r="AW146" s="6"/>
      <c r="AX146" s="6"/>
      <c r="AY146" s="6"/>
    </row>
    <row r="147" spans="1:51" ht="25.5" x14ac:dyDescent="0.2">
      <c r="A147" s="18" t="s">
        <v>3</v>
      </c>
      <c r="B147" s="41">
        <v>71.157495256166996</v>
      </c>
      <c r="C147" s="54"/>
      <c r="D147" s="37"/>
      <c r="E147" s="51">
        <v>58</v>
      </c>
      <c r="AA147" s="2"/>
      <c r="AB147" s="2"/>
      <c r="AK147" s="6"/>
      <c r="AL147" s="6"/>
      <c r="AM147" s="6"/>
      <c r="AN147" s="6"/>
      <c r="AO147" s="6"/>
      <c r="AP147" s="11">
        <v>64</v>
      </c>
      <c r="AQ147" s="28" t="s">
        <v>4</v>
      </c>
      <c r="AR147" s="11">
        <v>72</v>
      </c>
      <c r="AS147" s="6"/>
      <c r="AT147" s="6"/>
      <c r="AU147" s="6"/>
      <c r="AV147" s="6"/>
      <c r="AW147" s="6"/>
      <c r="AX147" s="6"/>
      <c r="AY147" s="6"/>
    </row>
    <row r="148" spans="1:51" ht="25.5" x14ac:dyDescent="0.2">
      <c r="A148" s="18" t="s">
        <v>13</v>
      </c>
      <c r="B148" s="41">
        <v>16.129032258064512</v>
      </c>
      <c r="C148" s="54"/>
      <c r="D148" s="37"/>
      <c r="E148" s="51">
        <v>58</v>
      </c>
      <c r="AA148" s="2"/>
      <c r="AB148" s="2"/>
      <c r="AK148" s="6"/>
      <c r="AL148" s="6"/>
      <c r="AM148" s="6"/>
      <c r="AN148" s="6"/>
      <c r="AO148" s="6"/>
      <c r="AP148" s="11">
        <v>73</v>
      </c>
      <c r="AQ148" s="28" t="s">
        <v>3</v>
      </c>
      <c r="AR148" s="11">
        <v>58</v>
      </c>
      <c r="AS148" s="6"/>
      <c r="AT148" s="6"/>
      <c r="AU148" s="6"/>
      <c r="AV148" s="6"/>
      <c r="AW148" s="6"/>
      <c r="AX148" s="6"/>
      <c r="AY148" s="6"/>
    </row>
    <row r="149" spans="1:51" ht="38.25" x14ac:dyDescent="0.2">
      <c r="A149" s="18" t="s">
        <v>8</v>
      </c>
      <c r="B149" s="41">
        <v>53.763440860215049</v>
      </c>
      <c r="C149" s="54"/>
      <c r="D149" s="37"/>
      <c r="E149" s="51">
        <v>44</v>
      </c>
      <c r="AA149" s="2"/>
      <c r="AB149" s="2"/>
      <c r="AK149" s="6"/>
      <c r="AL149" s="6"/>
      <c r="AM149" s="6"/>
      <c r="AN149" s="6"/>
      <c r="AO149" s="6"/>
      <c r="AP149" s="11">
        <v>31</v>
      </c>
      <c r="AQ149" s="28" t="s">
        <v>13</v>
      </c>
      <c r="AR149" s="11">
        <v>58</v>
      </c>
      <c r="AS149" s="6"/>
      <c r="AT149" s="6"/>
      <c r="AU149" s="6"/>
      <c r="AV149" s="6"/>
      <c r="AW149" s="6"/>
      <c r="AX149" s="6"/>
      <c r="AY149" s="6"/>
    </row>
    <row r="150" spans="1:51" ht="15" x14ac:dyDescent="0.2">
      <c r="A150" s="18" t="s">
        <v>6</v>
      </c>
      <c r="B150" s="41">
        <v>42.69449715370019</v>
      </c>
      <c r="C150" s="54"/>
      <c r="D150" s="37"/>
      <c r="E150" s="51">
        <v>42</v>
      </c>
      <c r="AA150" s="2"/>
      <c r="AB150" s="2"/>
      <c r="AK150" s="6"/>
      <c r="AL150" s="6"/>
      <c r="AM150" s="6"/>
      <c r="AN150" s="6"/>
      <c r="AO150" s="6"/>
      <c r="AP150" s="11">
        <v>55</v>
      </c>
      <c r="AQ150" s="28" t="s">
        <v>8</v>
      </c>
      <c r="AR150" s="11">
        <v>44</v>
      </c>
      <c r="AS150" s="6"/>
      <c r="AT150" s="6"/>
      <c r="AU150" s="6"/>
      <c r="AV150" s="6"/>
      <c r="AW150" s="6"/>
      <c r="AX150" s="6"/>
      <c r="AY150" s="6"/>
    </row>
    <row r="151" spans="1:51" ht="25.5" x14ac:dyDescent="0.2">
      <c r="A151" s="18" t="s">
        <v>7</v>
      </c>
      <c r="B151" s="41">
        <v>59.772296015180245</v>
      </c>
      <c r="C151" s="54"/>
      <c r="D151" s="37"/>
      <c r="E151" s="51">
        <v>33</v>
      </c>
      <c r="AA151" s="2"/>
      <c r="AB151" s="2"/>
      <c r="AK151" s="6"/>
      <c r="AL151" s="6"/>
      <c r="AM151" s="6"/>
      <c r="AN151" s="6"/>
      <c r="AO151" s="6"/>
      <c r="AP151" s="11">
        <v>42</v>
      </c>
      <c r="AQ151" s="28" t="s">
        <v>6</v>
      </c>
      <c r="AR151" s="11">
        <v>42</v>
      </c>
      <c r="AS151" s="6"/>
      <c r="AT151" s="6"/>
      <c r="AU151" s="6"/>
      <c r="AV151" s="6"/>
      <c r="AW151" s="6"/>
      <c r="AX151" s="6"/>
      <c r="AY151" s="6"/>
    </row>
    <row r="152" spans="1:51" ht="25.5" x14ac:dyDescent="0.2">
      <c r="A152" s="20" t="s">
        <v>18</v>
      </c>
      <c r="B152" s="42" t="s">
        <v>38</v>
      </c>
      <c r="D152" s="37"/>
      <c r="E152" s="51">
        <v>32</v>
      </c>
      <c r="AA152" s="2"/>
      <c r="AB152" s="2"/>
      <c r="AK152" s="6"/>
      <c r="AL152" s="6"/>
      <c r="AM152" s="6"/>
      <c r="AN152" s="6"/>
      <c r="AO152" s="6"/>
      <c r="AP152" s="11">
        <v>39</v>
      </c>
      <c r="AQ152" s="28" t="s">
        <v>7</v>
      </c>
      <c r="AR152" s="11">
        <v>33</v>
      </c>
      <c r="AS152" s="6"/>
      <c r="AT152" s="6"/>
      <c r="AU152" s="6"/>
      <c r="AV152" s="6"/>
      <c r="AW152" s="6"/>
      <c r="AX152" s="6"/>
      <c r="AY152" s="6"/>
    </row>
    <row r="153" spans="1:51" ht="15" x14ac:dyDescent="0.2">
      <c r="A153" s="18" t="s">
        <v>10</v>
      </c>
      <c r="B153" s="41">
        <v>43.01075268817204</v>
      </c>
      <c r="C153" s="54"/>
      <c r="D153" s="37"/>
      <c r="E153" s="51">
        <v>28</v>
      </c>
      <c r="AA153" s="2"/>
      <c r="AB153" s="2"/>
      <c r="AK153" s="6"/>
      <c r="AL153" s="6"/>
      <c r="AM153" s="6"/>
      <c r="AN153" s="6"/>
      <c r="AO153" s="6"/>
      <c r="AP153" s="11">
        <v>15</v>
      </c>
      <c r="AQ153" s="14" t="s">
        <v>18</v>
      </c>
      <c r="AR153" s="11">
        <v>32</v>
      </c>
      <c r="AS153" s="6"/>
      <c r="AT153" s="6"/>
      <c r="AU153" s="6"/>
      <c r="AV153" s="6"/>
      <c r="AW153" s="6"/>
      <c r="AX153" s="6"/>
    </row>
    <row r="154" spans="1:51" ht="25.5" x14ac:dyDescent="0.2">
      <c r="A154" s="18" t="s">
        <v>25</v>
      </c>
      <c r="B154" s="41">
        <v>17.281105990783409</v>
      </c>
      <c r="C154" s="54"/>
      <c r="D154" s="37"/>
      <c r="E154" s="51">
        <v>26</v>
      </c>
      <c r="AA154" s="2"/>
      <c r="AB154" s="2"/>
      <c r="AK154" s="6"/>
      <c r="AL154" s="6"/>
      <c r="AM154" s="6"/>
      <c r="AN154" s="6"/>
      <c r="AO154" s="6"/>
      <c r="AP154" s="11">
        <v>9</v>
      </c>
      <c r="AQ154" s="28" t="s">
        <v>10</v>
      </c>
      <c r="AR154" s="11">
        <v>28</v>
      </c>
      <c r="AS154" s="6"/>
      <c r="AT154" s="6"/>
      <c r="AU154" s="6"/>
      <c r="AV154" s="6"/>
      <c r="AW154" s="6"/>
      <c r="AX154" s="6"/>
    </row>
    <row r="155" spans="1:51" ht="51" x14ac:dyDescent="0.2">
      <c r="A155" s="18" t="s">
        <v>11</v>
      </c>
      <c r="B155" s="41">
        <v>37.634408602150501</v>
      </c>
      <c r="C155" s="54"/>
      <c r="D155" s="37"/>
      <c r="E155" s="51">
        <v>14</v>
      </c>
      <c r="AA155" s="2"/>
      <c r="AB155" s="2"/>
      <c r="AK155" s="6"/>
      <c r="AL155" s="6"/>
      <c r="AM155" s="6"/>
      <c r="AN155" s="6"/>
      <c r="AO155" s="6"/>
      <c r="AP155" s="11">
        <v>15</v>
      </c>
      <c r="AQ155" s="28" t="s">
        <v>25</v>
      </c>
      <c r="AR155" s="11">
        <v>26</v>
      </c>
      <c r="AS155" s="6"/>
      <c r="AT155" s="6"/>
      <c r="AU155" s="6"/>
      <c r="AV155" s="6"/>
      <c r="AW155" s="6"/>
      <c r="AX155" s="6"/>
    </row>
    <row r="156" spans="1:51" ht="11.25" customHeight="1" x14ac:dyDescent="0.2">
      <c r="A156" s="18" t="s">
        <v>9</v>
      </c>
      <c r="B156" s="41">
        <v>26.881720430107524</v>
      </c>
      <c r="C156" s="54"/>
      <c r="D156" s="37"/>
      <c r="E156" s="51">
        <v>12</v>
      </c>
      <c r="AA156" s="2"/>
      <c r="AB156" s="2"/>
      <c r="AK156" s="6"/>
      <c r="AL156" s="6"/>
      <c r="AM156" s="6"/>
      <c r="AN156" s="6"/>
      <c r="AO156" s="6"/>
      <c r="AP156" s="11">
        <v>24</v>
      </c>
      <c r="AQ156" s="28" t="s">
        <v>11</v>
      </c>
      <c r="AR156" s="11">
        <v>14</v>
      </c>
      <c r="AS156" s="6"/>
      <c r="AT156" s="6"/>
      <c r="AU156" s="6"/>
      <c r="AV156" s="6"/>
      <c r="AW156" s="6"/>
      <c r="AX156" s="6"/>
    </row>
    <row r="157" spans="1:51" ht="15" x14ac:dyDescent="0.2">
      <c r="A157" s="18" t="s">
        <v>12</v>
      </c>
      <c r="B157" s="41">
        <v>13.440860215053762</v>
      </c>
      <c r="C157" s="54"/>
      <c r="D157" s="37"/>
      <c r="E157" s="51">
        <v>12</v>
      </c>
      <c r="AA157" s="2"/>
      <c r="AB157" s="2"/>
      <c r="AK157" s="6"/>
      <c r="AL157" s="6"/>
      <c r="AM157" s="6"/>
      <c r="AN157" s="6"/>
      <c r="AO157" s="6"/>
      <c r="AP157" s="11">
        <v>20</v>
      </c>
      <c r="AQ157" s="28" t="s">
        <v>9</v>
      </c>
      <c r="AR157" s="11">
        <v>12</v>
      </c>
      <c r="AS157" s="6"/>
      <c r="AT157" s="6"/>
      <c r="AU157" s="6"/>
      <c r="AV157" s="6"/>
      <c r="AW157" s="6"/>
      <c r="AX157" s="6"/>
    </row>
    <row r="158" spans="1:51" ht="15" x14ac:dyDescent="0.2">
      <c r="A158" s="18" t="s">
        <v>15</v>
      </c>
      <c r="B158" s="41">
        <v>18.817204301075268</v>
      </c>
      <c r="C158" s="54"/>
      <c r="D158" s="37"/>
      <c r="E158" s="51">
        <v>7</v>
      </c>
      <c r="AA158" s="2"/>
      <c r="AB158" s="2"/>
      <c r="AK158" s="6"/>
      <c r="AL158" s="6"/>
      <c r="AM158" s="6"/>
      <c r="AN158" s="6"/>
      <c r="AO158" s="6"/>
      <c r="AP158" s="11">
        <v>7</v>
      </c>
      <c r="AQ158" s="28" t="s">
        <v>12</v>
      </c>
      <c r="AR158" s="11">
        <v>12</v>
      </c>
      <c r="AS158" s="6"/>
      <c r="AT158" s="6"/>
      <c r="AU158" s="6"/>
      <c r="AV158" s="6"/>
      <c r="AW158" s="6"/>
      <c r="AX158" s="6"/>
    </row>
    <row r="159" spans="1:51" ht="15" x14ac:dyDescent="0.2">
      <c r="A159" s="18" t="s">
        <v>16</v>
      </c>
      <c r="B159" s="41">
        <v>8.5388994307400363</v>
      </c>
      <c r="C159" s="54"/>
      <c r="D159" s="37"/>
      <c r="E159" s="51">
        <v>4</v>
      </c>
      <c r="AA159" s="2"/>
      <c r="AB159" s="2"/>
      <c r="AP159" s="11">
        <v>5</v>
      </c>
      <c r="AQ159" s="28" t="s">
        <v>15</v>
      </c>
      <c r="AR159" s="11">
        <v>7</v>
      </c>
    </row>
    <row r="160" spans="1:51" ht="25.5" x14ac:dyDescent="0.2">
      <c r="A160" s="18" t="s">
        <v>14</v>
      </c>
      <c r="B160" s="41">
        <v>8.0645161290322562</v>
      </c>
      <c r="C160" s="54"/>
      <c r="D160" s="37"/>
      <c r="E160" s="51">
        <v>4</v>
      </c>
      <c r="AA160" s="2"/>
      <c r="AB160" s="2"/>
      <c r="AP160" s="11">
        <v>9</v>
      </c>
      <c r="AQ160" s="28" t="s">
        <v>16</v>
      </c>
      <c r="AR160" s="11">
        <v>4</v>
      </c>
    </row>
    <row r="161" spans="1:44" ht="39" thickBot="1" x14ac:dyDescent="0.25">
      <c r="A161" s="23" t="s">
        <v>21</v>
      </c>
      <c r="B161" s="43">
        <v>10.75268817204301</v>
      </c>
      <c r="C161" s="54"/>
      <c r="D161" s="37"/>
      <c r="E161" s="52">
        <v>0</v>
      </c>
      <c r="AP161" s="11">
        <v>11</v>
      </c>
      <c r="AQ161" s="28" t="s">
        <v>14</v>
      </c>
      <c r="AR161" s="11">
        <v>4</v>
      </c>
    </row>
    <row r="162" spans="1:44" ht="39" thickBot="1" x14ac:dyDescent="0.25">
      <c r="AP162" s="12">
        <v>3</v>
      </c>
      <c r="AQ162" s="28" t="s">
        <v>21</v>
      </c>
      <c r="AR162" s="12">
        <v>0</v>
      </c>
    </row>
    <row r="163" spans="1:44" x14ac:dyDescent="0.2">
      <c r="AQ163" s="30"/>
    </row>
    <row r="166" spans="1:44" ht="15" x14ac:dyDescent="0.25">
      <c r="A166" s="4"/>
    </row>
  </sheetData>
  <mergeCells count="93">
    <mergeCell ref="A22:B22"/>
    <mergeCell ref="C22:D22"/>
    <mergeCell ref="AK22:AL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BK1:BL1"/>
    <mergeCell ref="BK2:BL2"/>
    <mergeCell ref="BK22:BL22"/>
    <mergeCell ref="AB3:AB20"/>
    <mergeCell ref="AD3:AD20"/>
    <mergeCell ref="AQ22:AR22"/>
    <mergeCell ref="AA22:AB22"/>
    <mergeCell ref="AR3:AR20"/>
    <mergeCell ref="AF3:AF20"/>
    <mergeCell ref="AH3:AH20"/>
    <mergeCell ref="AJ3:AJ20"/>
    <mergeCell ref="AL3:AL20"/>
    <mergeCell ref="AN3:AN20"/>
    <mergeCell ref="BD1:BE1"/>
    <mergeCell ref="BD2:BE2"/>
    <mergeCell ref="BB2:BC2"/>
    <mergeCell ref="D141:D142"/>
    <mergeCell ref="A141:A142"/>
    <mergeCell ref="A83:A84"/>
    <mergeCell ref="B83:B84"/>
    <mergeCell ref="D83:D84"/>
    <mergeCell ref="A110:A111"/>
    <mergeCell ref="B110:B111"/>
    <mergeCell ref="B141:B142"/>
    <mergeCell ref="D110:D111"/>
    <mergeCell ref="E141:E142"/>
    <mergeCell ref="E83:E84"/>
    <mergeCell ref="F83:F84"/>
    <mergeCell ref="E110:E111"/>
    <mergeCell ref="AC22:AD22"/>
    <mergeCell ref="H3:H20"/>
    <mergeCell ref="AM22:AN22"/>
    <mergeCell ref="AO22:AP22"/>
    <mergeCell ref="AG22:AH22"/>
    <mergeCell ref="AI22:AJ22"/>
    <mergeCell ref="AE22:AF22"/>
    <mergeCell ref="J3:J20"/>
    <mergeCell ref="L3:L20"/>
    <mergeCell ref="R3:R20"/>
    <mergeCell ref="T3:T20"/>
    <mergeCell ref="V3:V20"/>
    <mergeCell ref="X3:X20"/>
    <mergeCell ref="Z3:Z20"/>
    <mergeCell ref="N3:N20"/>
    <mergeCell ref="P3:P20"/>
    <mergeCell ref="AP3:AP20"/>
    <mergeCell ref="BC3:BC20"/>
    <mergeCell ref="AS22:AT22"/>
    <mergeCell ref="AY3:AY20"/>
    <mergeCell ref="AT3:AT20"/>
    <mergeCell ref="AY22:AZ22"/>
    <mergeCell ref="AX3:AX20"/>
    <mergeCell ref="AW22:AX22"/>
    <mergeCell ref="AU22:AV22"/>
    <mergeCell ref="AV3:AV20"/>
    <mergeCell ref="BG22:BH22"/>
    <mergeCell ref="BQ2:BR2"/>
    <mergeCell ref="BQ1:BR1"/>
    <mergeCell ref="BQ22:BR22"/>
    <mergeCell ref="BA22:BB22"/>
    <mergeCell ref="BC22:BD22"/>
    <mergeCell ref="BE22:BF22"/>
    <mergeCell ref="BA3:BA20"/>
    <mergeCell ref="BO1:BP1"/>
    <mergeCell ref="BM1:BN1"/>
    <mergeCell ref="BM2:BN2"/>
    <mergeCell ref="BO2:BP2"/>
    <mergeCell ref="BO22:BP22"/>
    <mergeCell ref="BM22:BN22"/>
    <mergeCell ref="BI2:BJ2"/>
    <mergeCell ref="BI22:BJ22"/>
    <mergeCell ref="BW1:BX1"/>
    <mergeCell ref="BW2:BX2"/>
    <mergeCell ref="BW22:BX22"/>
    <mergeCell ref="BS1:BT1"/>
    <mergeCell ref="BS2:BT2"/>
    <mergeCell ref="BS22:BT22"/>
    <mergeCell ref="BU1:BV1"/>
    <mergeCell ref="BU2:BV2"/>
    <mergeCell ref="BU22:BV22"/>
  </mergeCells>
  <conditionalFormatting sqref="AW3:AW19 AZ3:AZ20 BB3:BB20 BF3:BF20 BH3:BH20 BJ3:BJ20 BL3:BL20">
    <cfRule type="cellIs" dxfId="30" priority="56" operator="greaterThan">
      <formula>51</formula>
    </cfRule>
  </conditionalFormatting>
  <conditionalFormatting sqref="AW24:BB41">
    <cfRule type="cellIs" dxfId="29" priority="48" operator="greaterThan">
      <formula>60</formula>
    </cfRule>
    <cfRule type="cellIs" dxfId="28" priority="49" operator="greaterThan">
      <formula>75</formula>
    </cfRule>
  </conditionalFormatting>
  <conditionalFormatting sqref="BE24:BX41">
    <cfRule type="cellIs" dxfId="27" priority="1" operator="greaterThan">
      <formula>60</formula>
    </cfRule>
    <cfRule type="cellIs" dxfId="26" priority="2" operator="greaterThan">
      <formula>75</formula>
    </cfRule>
  </conditionalFormatting>
  <conditionalFormatting sqref="BN3:BN20">
    <cfRule type="cellIs" dxfId="25" priority="24" operator="greaterThan">
      <formula>51</formula>
    </cfRule>
  </conditionalFormatting>
  <conditionalFormatting sqref="BP3:BP20">
    <cfRule type="cellIs" dxfId="24" priority="21" operator="greaterThan">
      <formula>51</formula>
    </cfRule>
  </conditionalFormatting>
  <conditionalFormatting sqref="BR3:BR20">
    <cfRule type="cellIs" dxfId="23" priority="18" operator="greaterThan">
      <formula>51</formula>
    </cfRule>
  </conditionalFormatting>
  <conditionalFormatting sqref="BT3:BT20">
    <cfRule type="cellIs" dxfId="22" priority="13" operator="greaterThan">
      <formula>51</formula>
    </cfRule>
  </conditionalFormatting>
  <conditionalFormatting sqref="BV3:BV20">
    <cfRule type="cellIs" dxfId="21" priority="4" operator="greaterThan">
      <formula>51</formula>
    </cfRule>
  </conditionalFormatting>
  <conditionalFormatting sqref="BX3:BX20">
    <cfRule type="cellIs" dxfId="20" priority="3" operator="greaterThan">
      <formula>51</formula>
    </cfRule>
  </conditionalFormatting>
  <pageMargins left="0.75" right="0.75" top="1" bottom="1" header="0.5" footer="0.5"/>
  <pageSetup paperSize="9" scale="7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C24"/>
  <sheetViews>
    <sheetView rightToLeft="1" tabSelected="1" zoomScale="120" zoomScaleNormal="120" workbookViewId="0">
      <pane xSplit="1" ySplit="5" topLeftCell="MQ6" activePane="bottomRight" state="frozen"/>
      <selection pane="topRight" activeCell="B1" sqref="B1"/>
      <selection pane="bottomLeft" activeCell="A6" sqref="A6"/>
      <selection pane="bottomRight" activeCell="HB6" sqref="HB6:HB23"/>
    </sheetView>
  </sheetViews>
  <sheetFormatPr defaultRowHeight="15" x14ac:dyDescent="0.25"/>
  <cols>
    <col min="1" max="1" width="34" bestFit="1" customWidth="1"/>
    <col min="2" max="7" width="9.140625" customWidth="1"/>
  </cols>
  <sheetData>
    <row r="1" spans="1:211" s="63" customFormat="1" ht="21" x14ac:dyDescent="0.35">
      <c r="B1" s="139" t="s">
        <v>94</v>
      </c>
      <c r="C1" s="139"/>
      <c r="D1" s="139"/>
      <c r="E1" s="139"/>
      <c r="F1" s="139"/>
      <c r="G1" s="139"/>
      <c r="H1" s="139" t="s">
        <v>95</v>
      </c>
      <c r="I1" s="139"/>
      <c r="J1" s="139"/>
      <c r="K1" s="139"/>
      <c r="L1" s="139"/>
      <c r="M1" s="139"/>
      <c r="N1" s="139" t="s">
        <v>96</v>
      </c>
      <c r="O1" s="139"/>
      <c r="P1" s="139"/>
      <c r="Q1" s="139"/>
      <c r="R1" s="139"/>
      <c r="S1" s="139"/>
      <c r="T1" s="139" t="s">
        <v>97</v>
      </c>
      <c r="U1" s="139"/>
      <c r="V1" s="139"/>
      <c r="W1" s="139"/>
      <c r="X1" s="139"/>
      <c r="Y1" s="139"/>
      <c r="Z1" s="139" t="s">
        <v>98</v>
      </c>
      <c r="AA1" s="139"/>
      <c r="AB1" s="139"/>
      <c r="AC1" s="139"/>
      <c r="AD1" s="139"/>
      <c r="AE1" s="139"/>
      <c r="AF1" s="139" t="s">
        <v>99</v>
      </c>
      <c r="AG1" s="139"/>
      <c r="AH1" s="139"/>
      <c r="AI1" s="139"/>
      <c r="AJ1" s="139"/>
      <c r="AK1" s="139"/>
      <c r="AL1" s="139" t="s">
        <v>100</v>
      </c>
      <c r="AM1" s="139"/>
      <c r="AN1" s="139"/>
      <c r="AO1" s="139"/>
      <c r="AP1" s="139"/>
      <c r="AQ1" s="139"/>
      <c r="AR1" s="139" t="s">
        <v>101</v>
      </c>
      <c r="AS1" s="139"/>
      <c r="AT1" s="139"/>
      <c r="AU1" s="139"/>
      <c r="AV1" s="139"/>
      <c r="AW1" s="139"/>
      <c r="AX1" s="139" t="s">
        <v>102</v>
      </c>
      <c r="AY1" s="139"/>
      <c r="AZ1" s="139"/>
      <c r="BA1" s="139"/>
      <c r="BB1" s="139"/>
      <c r="BC1" s="139"/>
      <c r="BD1" s="139" t="s">
        <v>103</v>
      </c>
      <c r="BE1" s="139"/>
      <c r="BF1" s="139"/>
      <c r="BG1" s="139"/>
      <c r="BH1" s="139"/>
      <c r="BI1" s="139"/>
      <c r="BJ1" s="139" t="s">
        <v>104</v>
      </c>
      <c r="BK1" s="139"/>
      <c r="BL1" s="139"/>
      <c r="BM1" s="139"/>
      <c r="BN1" s="139"/>
      <c r="BO1" s="139"/>
      <c r="BP1" s="139" t="s">
        <v>105</v>
      </c>
      <c r="BQ1" s="139"/>
      <c r="BR1" s="139"/>
      <c r="BS1" s="139"/>
      <c r="BT1" s="139"/>
      <c r="BU1" s="139"/>
      <c r="BV1" s="139" t="s">
        <v>106</v>
      </c>
      <c r="BW1" s="139"/>
      <c r="BX1" s="139"/>
      <c r="BY1" s="139"/>
      <c r="BZ1" s="139"/>
      <c r="CA1" s="139"/>
      <c r="CB1" s="139" t="s">
        <v>107</v>
      </c>
      <c r="CC1" s="139"/>
      <c r="CD1" s="139"/>
      <c r="CE1" s="139"/>
      <c r="CF1" s="139"/>
      <c r="CG1" s="139"/>
      <c r="CH1" s="139" t="s">
        <v>108</v>
      </c>
      <c r="CI1" s="139"/>
      <c r="CJ1" s="139"/>
      <c r="CK1" s="139"/>
      <c r="CL1" s="139"/>
      <c r="CM1" s="139"/>
      <c r="CN1" s="139" t="s">
        <v>109</v>
      </c>
      <c r="CO1" s="139"/>
      <c r="CP1" s="139"/>
      <c r="CQ1" s="139"/>
      <c r="CR1" s="139"/>
      <c r="CS1" s="139"/>
      <c r="CT1" s="139" t="s">
        <v>110</v>
      </c>
      <c r="CU1" s="139"/>
      <c r="CV1" s="139"/>
      <c r="CW1" s="139"/>
      <c r="CX1" s="139"/>
      <c r="CY1" s="139"/>
      <c r="CZ1" s="139" t="s">
        <v>111</v>
      </c>
      <c r="DA1" s="139"/>
      <c r="DB1" s="139"/>
      <c r="DC1" s="139"/>
      <c r="DD1" s="139"/>
      <c r="DE1" s="139"/>
      <c r="DF1" s="139" t="s">
        <v>51</v>
      </c>
      <c r="DG1" s="139"/>
      <c r="DH1" s="139"/>
      <c r="DI1" s="139"/>
      <c r="DJ1" s="139"/>
      <c r="DK1" s="139"/>
      <c r="DL1" s="139" t="s">
        <v>112</v>
      </c>
      <c r="DM1" s="139"/>
      <c r="DN1" s="139"/>
      <c r="DO1" s="139"/>
      <c r="DP1" s="139"/>
      <c r="DQ1" s="139"/>
      <c r="DR1" s="139" t="s">
        <v>157</v>
      </c>
      <c r="DS1" s="139"/>
      <c r="DT1" s="139"/>
      <c r="DU1" s="139"/>
      <c r="DV1" s="139"/>
      <c r="DW1" s="139"/>
      <c r="DX1" s="139" t="s">
        <v>168</v>
      </c>
      <c r="DY1" s="139"/>
      <c r="DZ1" s="139"/>
      <c r="EA1" s="139"/>
      <c r="EB1" s="139"/>
      <c r="EC1" s="139"/>
      <c r="ED1" s="139" t="s">
        <v>170</v>
      </c>
      <c r="EE1" s="139"/>
      <c r="EF1" s="139"/>
      <c r="EG1" s="139"/>
      <c r="EH1" s="139"/>
      <c r="EI1" s="139"/>
      <c r="EJ1" s="139" t="s">
        <v>179</v>
      </c>
      <c r="EK1" s="139"/>
      <c r="EL1" s="139"/>
      <c r="EM1" s="139"/>
      <c r="EN1" s="139"/>
      <c r="EO1" s="139"/>
      <c r="EP1" s="139" t="s">
        <v>187</v>
      </c>
      <c r="EQ1" s="139"/>
      <c r="ER1" s="139"/>
      <c r="ES1" s="139"/>
      <c r="ET1" s="139"/>
      <c r="EU1" s="139"/>
      <c r="EV1" s="139" t="s">
        <v>188</v>
      </c>
      <c r="EW1" s="139"/>
      <c r="EX1" s="139"/>
      <c r="EY1" s="139"/>
      <c r="EZ1" s="139"/>
      <c r="FA1" s="139"/>
      <c r="FB1" s="139" t="s">
        <v>200</v>
      </c>
      <c r="FC1" s="139"/>
      <c r="FD1" s="139"/>
      <c r="FE1" s="139"/>
      <c r="FF1" s="139"/>
      <c r="FG1" s="139"/>
      <c r="FH1" s="139" t="s">
        <v>201</v>
      </c>
      <c r="FI1" s="139"/>
      <c r="FJ1" s="139"/>
      <c r="FK1" s="139"/>
      <c r="FL1" s="139"/>
      <c r="FM1" s="139"/>
      <c r="FN1" s="139" t="s">
        <v>207</v>
      </c>
      <c r="FO1" s="139"/>
      <c r="FP1" s="139"/>
      <c r="FQ1" s="139"/>
      <c r="FR1" s="139"/>
      <c r="FS1" s="139"/>
      <c r="FT1" s="139" t="s">
        <v>225</v>
      </c>
      <c r="FU1" s="139"/>
      <c r="FV1" s="139"/>
      <c r="FW1" s="139"/>
      <c r="FX1" s="139"/>
      <c r="FY1" s="139"/>
      <c r="FZ1" s="139" t="s">
        <v>245</v>
      </c>
      <c r="GA1" s="139"/>
      <c r="GB1" s="139"/>
      <c r="GC1" s="139"/>
      <c r="GD1" s="139"/>
      <c r="GE1" s="139"/>
      <c r="GF1" s="139" t="s">
        <v>250</v>
      </c>
      <c r="GG1" s="139"/>
      <c r="GH1" s="139"/>
      <c r="GI1" s="139"/>
      <c r="GJ1" s="139"/>
      <c r="GK1" s="139"/>
      <c r="GL1" s="139" t="s">
        <v>207</v>
      </c>
      <c r="GM1" s="139"/>
      <c r="GN1" s="139"/>
      <c r="GO1" s="139"/>
      <c r="GP1" s="139"/>
      <c r="GQ1" s="139"/>
      <c r="GR1" s="139" t="s">
        <v>304</v>
      </c>
      <c r="GS1" s="139"/>
      <c r="GT1" s="139"/>
      <c r="GU1" s="139"/>
      <c r="GV1" s="139"/>
      <c r="GW1" s="139"/>
      <c r="GX1" s="139" t="s">
        <v>245</v>
      </c>
      <c r="GY1" s="139"/>
      <c r="GZ1" s="139"/>
      <c r="HA1" s="139"/>
      <c r="HB1" s="139"/>
      <c r="HC1" s="139"/>
    </row>
    <row r="2" spans="1:211" s="58" customFormat="1" x14ac:dyDescent="0.25"/>
    <row r="3" spans="1:211" s="58" customFormat="1" x14ac:dyDescent="0.25"/>
    <row r="4" spans="1:211" s="58" customFormat="1" x14ac:dyDescent="0.25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V4" s="59"/>
      <c r="EW4" s="59"/>
      <c r="EX4" s="59"/>
      <c r="EY4" s="59"/>
      <c r="EZ4" s="59"/>
      <c r="FA4" s="59"/>
    </row>
    <row r="5" spans="1:211" s="58" customFormat="1" ht="38.25" x14ac:dyDescent="0.25">
      <c r="A5" s="60"/>
      <c r="B5" s="61" t="s">
        <v>26</v>
      </c>
      <c r="C5" s="61" t="s">
        <v>27</v>
      </c>
      <c r="D5" s="61" t="s">
        <v>28</v>
      </c>
      <c r="E5" s="61" t="s">
        <v>29</v>
      </c>
      <c r="F5" s="61" t="s">
        <v>30</v>
      </c>
      <c r="G5" s="62" t="s">
        <v>31</v>
      </c>
      <c r="H5" s="61" t="s">
        <v>26</v>
      </c>
      <c r="I5" s="61" t="s">
        <v>27</v>
      </c>
      <c r="J5" s="61" t="s">
        <v>28</v>
      </c>
      <c r="K5" s="61" t="s">
        <v>29</v>
      </c>
      <c r="L5" s="61" t="s">
        <v>30</v>
      </c>
      <c r="M5" s="62" t="s">
        <v>31</v>
      </c>
      <c r="N5" s="61" t="s">
        <v>26</v>
      </c>
      <c r="O5" s="61" t="s">
        <v>27</v>
      </c>
      <c r="P5" s="61" t="s">
        <v>28</v>
      </c>
      <c r="Q5" s="61" t="s">
        <v>29</v>
      </c>
      <c r="R5" s="61" t="s">
        <v>30</v>
      </c>
      <c r="S5" s="62" t="s">
        <v>31</v>
      </c>
      <c r="T5" s="61" t="s">
        <v>26</v>
      </c>
      <c r="U5" s="61" t="s">
        <v>27</v>
      </c>
      <c r="V5" s="61" t="s">
        <v>28</v>
      </c>
      <c r="W5" s="61" t="s">
        <v>29</v>
      </c>
      <c r="X5" s="61" t="s">
        <v>30</v>
      </c>
      <c r="Y5" s="62" t="s">
        <v>31</v>
      </c>
      <c r="Z5" s="61" t="s">
        <v>26</v>
      </c>
      <c r="AA5" s="61" t="s">
        <v>27</v>
      </c>
      <c r="AB5" s="61" t="s">
        <v>28</v>
      </c>
      <c r="AC5" s="61" t="s">
        <v>29</v>
      </c>
      <c r="AD5" s="61" t="s">
        <v>30</v>
      </c>
      <c r="AE5" s="62" t="s">
        <v>31</v>
      </c>
      <c r="AF5" s="61" t="s">
        <v>26</v>
      </c>
      <c r="AG5" s="61" t="s">
        <v>27</v>
      </c>
      <c r="AH5" s="61" t="s">
        <v>28</v>
      </c>
      <c r="AI5" s="61" t="s">
        <v>29</v>
      </c>
      <c r="AJ5" s="61" t="s">
        <v>30</v>
      </c>
      <c r="AK5" s="62" t="s">
        <v>31</v>
      </c>
      <c r="AL5" s="61" t="s">
        <v>26</v>
      </c>
      <c r="AM5" s="61" t="s">
        <v>27</v>
      </c>
      <c r="AN5" s="61" t="s">
        <v>28</v>
      </c>
      <c r="AO5" s="61" t="s">
        <v>29</v>
      </c>
      <c r="AP5" s="61" t="s">
        <v>30</v>
      </c>
      <c r="AQ5" s="62" t="s">
        <v>31</v>
      </c>
      <c r="AR5" s="61" t="s">
        <v>26</v>
      </c>
      <c r="AS5" s="61" t="s">
        <v>27</v>
      </c>
      <c r="AT5" s="61" t="s">
        <v>28</v>
      </c>
      <c r="AU5" s="61" t="s">
        <v>29</v>
      </c>
      <c r="AV5" s="61" t="s">
        <v>30</v>
      </c>
      <c r="AW5" s="62" t="s">
        <v>31</v>
      </c>
      <c r="AX5" s="61" t="s">
        <v>26</v>
      </c>
      <c r="AY5" s="61" t="s">
        <v>27</v>
      </c>
      <c r="AZ5" s="61" t="s">
        <v>28</v>
      </c>
      <c r="BA5" s="61" t="s">
        <v>29</v>
      </c>
      <c r="BB5" s="61" t="s">
        <v>30</v>
      </c>
      <c r="BC5" s="62" t="s">
        <v>31</v>
      </c>
      <c r="BD5" s="61" t="s">
        <v>26</v>
      </c>
      <c r="BE5" s="61" t="s">
        <v>27</v>
      </c>
      <c r="BF5" s="61" t="s">
        <v>28</v>
      </c>
      <c r="BG5" s="61" t="s">
        <v>29</v>
      </c>
      <c r="BH5" s="61" t="s">
        <v>30</v>
      </c>
      <c r="BI5" s="62" t="s">
        <v>31</v>
      </c>
      <c r="BJ5" s="61" t="s">
        <v>26</v>
      </c>
      <c r="BK5" s="61" t="s">
        <v>27</v>
      </c>
      <c r="BL5" s="61" t="s">
        <v>28</v>
      </c>
      <c r="BM5" s="61" t="s">
        <v>29</v>
      </c>
      <c r="BN5" s="61" t="s">
        <v>30</v>
      </c>
      <c r="BO5" s="62" t="s">
        <v>31</v>
      </c>
      <c r="BP5" s="61" t="s">
        <v>26</v>
      </c>
      <c r="BQ5" s="61" t="s">
        <v>27</v>
      </c>
      <c r="BR5" s="61" t="s">
        <v>28</v>
      </c>
      <c r="BS5" s="61" t="s">
        <v>29</v>
      </c>
      <c r="BT5" s="61" t="s">
        <v>30</v>
      </c>
      <c r="BU5" s="62" t="s">
        <v>31</v>
      </c>
      <c r="BV5" s="61" t="s">
        <v>26</v>
      </c>
      <c r="BW5" s="61" t="s">
        <v>27</v>
      </c>
      <c r="BX5" s="61" t="s">
        <v>28</v>
      </c>
      <c r="BY5" s="61" t="s">
        <v>29</v>
      </c>
      <c r="BZ5" s="61" t="s">
        <v>30</v>
      </c>
      <c r="CA5" s="62" t="s">
        <v>31</v>
      </c>
      <c r="CB5" s="61" t="s">
        <v>26</v>
      </c>
      <c r="CC5" s="61" t="s">
        <v>27</v>
      </c>
      <c r="CD5" s="61" t="s">
        <v>28</v>
      </c>
      <c r="CE5" s="61" t="s">
        <v>29</v>
      </c>
      <c r="CF5" s="61" t="s">
        <v>30</v>
      </c>
      <c r="CG5" s="62" t="s">
        <v>31</v>
      </c>
      <c r="CH5" s="61" t="s">
        <v>26</v>
      </c>
      <c r="CI5" s="61" t="s">
        <v>27</v>
      </c>
      <c r="CJ5" s="61" t="s">
        <v>28</v>
      </c>
      <c r="CK5" s="61" t="s">
        <v>29</v>
      </c>
      <c r="CL5" s="61" t="s">
        <v>30</v>
      </c>
      <c r="CM5" s="62" t="s">
        <v>31</v>
      </c>
      <c r="CN5" s="61" t="s">
        <v>26</v>
      </c>
      <c r="CO5" s="61" t="s">
        <v>27</v>
      </c>
      <c r="CP5" s="61" t="s">
        <v>28</v>
      </c>
      <c r="CQ5" s="61" t="s">
        <v>29</v>
      </c>
      <c r="CR5" s="61" t="s">
        <v>30</v>
      </c>
      <c r="CS5" s="62" t="s">
        <v>31</v>
      </c>
      <c r="CT5" s="61" t="s">
        <v>26</v>
      </c>
      <c r="CU5" s="61" t="s">
        <v>27</v>
      </c>
      <c r="CV5" s="61" t="s">
        <v>28</v>
      </c>
      <c r="CW5" s="61" t="s">
        <v>29</v>
      </c>
      <c r="CX5" s="61" t="s">
        <v>30</v>
      </c>
      <c r="CY5" s="62" t="s">
        <v>31</v>
      </c>
      <c r="CZ5" s="61" t="s">
        <v>26</v>
      </c>
      <c r="DA5" s="61" t="s">
        <v>27</v>
      </c>
      <c r="DB5" s="61" t="s">
        <v>28</v>
      </c>
      <c r="DC5" s="61" t="s">
        <v>29</v>
      </c>
      <c r="DD5" s="61" t="s">
        <v>30</v>
      </c>
      <c r="DE5" s="62" t="s">
        <v>31</v>
      </c>
      <c r="DF5" s="61" t="s">
        <v>26</v>
      </c>
      <c r="DG5" s="61" t="s">
        <v>27</v>
      </c>
      <c r="DH5" s="61" t="s">
        <v>28</v>
      </c>
      <c r="DI5" s="61" t="s">
        <v>29</v>
      </c>
      <c r="DJ5" s="61" t="s">
        <v>30</v>
      </c>
      <c r="DK5" s="62" t="s">
        <v>31</v>
      </c>
      <c r="DL5" s="61" t="s">
        <v>26</v>
      </c>
      <c r="DM5" s="61" t="s">
        <v>27</v>
      </c>
      <c r="DN5" s="61" t="s">
        <v>28</v>
      </c>
      <c r="DO5" s="61" t="s">
        <v>29</v>
      </c>
      <c r="DP5" s="61" t="s">
        <v>30</v>
      </c>
      <c r="DQ5" s="62" t="s">
        <v>31</v>
      </c>
      <c r="DR5" s="61" t="s">
        <v>26</v>
      </c>
      <c r="DS5" s="61" t="s">
        <v>27</v>
      </c>
      <c r="DT5" s="61" t="s">
        <v>28</v>
      </c>
      <c r="DU5" s="61" t="s">
        <v>29</v>
      </c>
      <c r="DV5" s="61" t="s">
        <v>30</v>
      </c>
      <c r="DW5" s="62" t="s">
        <v>31</v>
      </c>
      <c r="DX5" s="61" t="s">
        <v>26</v>
      </c>
      <c r="DY5" s="61" t="s">
        <v>27</v>
      </c>
      <c r="DZ5" s="61" t="s">
        <v>28</v>
      </c>
      <c r="EA5" s="61" t="s">
        <v>29</v>
      </c>
      <c r="EB5" s="61" t="s">
        <v>30</v>
      </c>
      <c r="EC5" s="62" t="s">
        <v>31</v>
      </c>
      <c r="ED5" s="61" t="s">
        <v>26</v>
      </c>
      <c r="EE5" s="61" t="s">
        <v>27</v>
      </c>
      <c r="EF5" s="61" t="s">
        <v>28</v>
      </c>
      <c r="EG5" s="61" t="s">
        <v>29</v>
      </c>
      <c r="EH5" s="61" t="s">
        <v>30</v>
      </c>
      <c r="EI5" s="62" t="s">
        <v>31</v>
      </c>
      <c r="EJ5" s="61" t="s">
        <v>26</v>
      </c>
      <c r="EK5" s="61" t="s">
        <v>27</v>
      </c>
      <c r="EL5" s="61" t="s">
        <v>28</v>
      </c>
      <c r="EM5" s="61" t="s">
        <v>29</v>
      </c>
      <c r="EN5" s="61" t="s">
        <v>30</v>
      </c>
      <c r="EO5" s="62" t="s">
        <v>31</v>
      </c>
      <c r="EP5" s="61" t="s">
        <v>26</v>
      </c>
      <c r="EQ5" s="61" t="s">
        <v>27</v>
      </c>
      <c r="ER5" s="61" t="s">
        <v>28</v>
      </c>
      <c r="ES5" s="61" t="s">
        <v>29</v>
      </c>
      <c r="ET5" s="61" t="s">
        <v>30</v>
      </c>
      <c r="EU5" s="62" t="s">
        <v>31</v>
      </c>
      <c r="EV5" s="61" t="s">
        <v>26</v>
      </c>
      <c r="EW5" s="61" t="s">
        <v>27</v>
      </c>
      <c r="EX5" s="61" t="s">
        <v>28</v>
      </c>
      <c r="EY5" s="61" t="s">
        <v>29</v>
      </c>
      <c r="EZ5" s="61" t="s">
        <v>30</v>
      </c>
      <c r="FA5" s="62" t="s">
        <v>31</v>
      </c>
      <c r="FB5" s="61" t="s">
        <v>26</v>
      </c>
      <c r="FC5" s="61" t="s">
        <v>27</v>
      </c>
      <c r="FD5" s="61" t="s">
        <v>28</v>
      </c>
      <c r="FE5" s="61" t="s">
        <v>29</v>
      </c>
      <c r="FF5" s="61" t="s">
        <v>30</v>
      </c>
      <c r="FG5" s="62" t="s">
        <v>31</v>
      </c>
      <c r="FH5" s="61" t="s">
        <v>26</v>
      </c>
      <c r="FI5" s="61" t="s">
        <v>27</v>
      </c>
      <c r="FJ5" s="61" t="s">
        <v>28</v>
      </c>
      <c r="FK5" s="61" t="s">
        <v>29</v>
      </c>
      <c r="FL5" s="61" t="s">
        <v>30</v>
      </c>
      <c r="FM5" s="62" t="s">
        <v>31</v>
      </c>
      <c r="FN5" s="61" t="s">
        <v>26</v>
      </c>
      <c r="FO5" s="61" t="s">
        <v>27</v>
      </c>
      <c r="FP5" s="61" t="s">
        <v>28</v>
      </c>
      <c r="FQ5" s="61" t="s">
        <v>29</v>
      </c>
      <c r="FR5" s="61" t="s">
        <v>30</v>
      </c>
      <c r="FS5" s="62" t="s">
        <v>31</v>
      </c>
      <c r="FT5" s="61" t="s">
        <v>26</v>
      </c>
      <c r="FU5" s="61" t="s">
        <v>27</v>
      </c>
      <c r="FV5" s="61" t="s">
        <v>28</v>
      </c>
      <c r="FW5" s="61" t="s">
        <v>29</v>
      </c>
      <c r="FX5" s="61" t="s">
        <v>30</v>
      </c>
      <c r="FY5" s="62" t="s">
        <v>31</v>
      </c>
      <c r="FZ5" s="61" t="s">
        <v>26</v>
      </c>
      <c r="GA5" s="61" t="s">
        <v>27</v>
      </c>
      <c r="GB5" s="61" t="s">
        <v>28</v>
      </c>
      <c r="GC5" s="61" t="s">
        <v>29</v>
      </c>
      <c r="GD5" s="61" t="s">
        <v>30</v>
      </c>
      <c r="GE5" s="62" t="s">
        <v>31</v>
      </c>
      <c r="GF5" s="61" t="s">
        <v>26</v>
      </c>
      <c r="GG5" s="61" t="s">
        <v>27</v>
      </c>
      <c r="GH5" s="61" t="s">
        <v>28</v>
      </c>
      <c r="GI5" s="61" t="s">
        <v>29</v>
      </c>
      <c r="GJ5" s="61" t="s">
        <v>30</v>
      </c>
      <c r="GK5" s="62" t="s">
        <v>31</v>
      </c>
      <c r="GL5" s="61" t="s">
        <v>26</v>
      </c>
      <c r="GM5" s="61" t="s">
        <v>27</v>
      </c>
      <c r="GN5" s="61" t="s">
        <v>28</v>
      </c>
      <c r="GO5" s="61" t="s">
        <v>29</v>
      </c>
      <c r="GP5" s="61" t="s">
        <v>30</v>
      </c>
      <c r="GQ5" s="62" t="s">
        <v>31</v>
      </c>
      <c r="GR5" s="61" t="s">
        <v>26</v>
      </c>
      <c r="GS5" s="61" t="s">
        <v>27</v>
      </c>
      <c r="GT5" s="61" t="s">
        <v>28</v>
      </c>
      <c r="GU5" s="61" t="s">
        <v>29</v>
      </c>
      <c r="GV5" s="61" t="s">
        <v>30</v>
      </c>
      <c r="GW5" s="62" t="s">
        <v>31</v>
      </c>
      <c r="GX5" s="61" t="s">
        <v>26</v>
      </c>
      <c r="GY5" s="61" t="s">
        <v>27</v>
      </c>
      <c r="GZ5" s="61" t="s">
        <v>28</v>
      </c>
      <c r="HA5" s="61" t="s">
        <v>29</v>
      </c>
      <c r="HB5" s="61" t="s">
        <v>30</v>
      </c>
      <c r="HC5" s="62" t="s">
        <v>31</v>
      </c>
    </row>
    <row r="6" spans="1:211" x14ac:dyDescent="0.25">
      <c r="A6" s="110" t="s">
        <v>218</v>
      </c>
      <c r="B6" s="32"/>
      <c r="C6" s="32"/>
      <c r="D6" s="33"/>
      <c r="E6" s="33"/>
      <c r="F6" s="33"/>
      <c r="G6" s="33"/>
      <c r="H6" s="32"/>
      <c r="I6" s="32"/>
      <c r="J6" s="33"/>
      <c r="K6" s="33"/>
      <c r="L6" s="33"/>
      <c r="M6" s="33"/>
      <c r="N6" s="32"/>
      <c r="O6" s="32"/>
      <c r="P6" s="33"/>
      <c r="Q6" s="33"/>
      <c r="R6" s="33"/>
      <c r="S6" s="33"/>
      <c r="T6" s="32"/>
      <c r="U6" s="32"/>
      <c r="V6" s="33"/>
      <c r="W6" s="33"/>
      <c r="X6" s="33"/>
      <c r="Y6" s="33"/>
      <c r="Z6" s="32"/>
      <c r="AA6" s="32"/>
      <c r="AB6" s="33"/>
      <c r="AC6" s="33"/>
      <c r="AD6" s="33"/>
      <c r="AE6" s="33"/>
      <c r="AF6" s="32"/>
      <c r="AG6" s="32"/>
      <c r="AH6" s="33"/>
      <c r="AI6" s="33"/>
      <c r="AJ6" s="33"/>
      <c r="AK6" s="33"/>
      <c r="AL6" s="32"/>
      <c r="AM6" s="32"/>
      <c r="AN6" s="33"/>
      <c r="AO6" s="33"/>
      <c r="AP6" s="33"/>
      <c r="AQ6" s="33"/>
      <c r="AR6" s="32"/>
      <c r="AS6" s="32"/>
      <c r="AT6" s="33"/>
      <c r="AU6" s="33"/>
      <c r="AV6" s="33"/>
      <c r="AW6" s="33"/>
      <c r="AX6" s="32"/>
      <c r="AY6" s="32"/>
      <c r="AZ6" s="33"/>
      <c r="BA6" s="33"/>
      <c r="BB6" s="33"/>
      <c r="BC6" s="33"/>
      <c r="BD6" s="32"/>
      <c r="BE6" s="32"/>
      <c r="BF6" s="33"/>
      <c r="BG6" s="33"/>
      <c r="BH6" s="33"/>
      <c r="BI6" s="33"/>
      <c r="BJ6" s="32"/>
      <c r="BK6" s="32"/>
      <c r="BL6" s="33"/>
      <c r="BM6" s="33"/>
      <c r="BN6" s="33"/>
      <c r="BO6" s="33"/>
      <c r="BP6" s="32"/>
      <c r="BQ6" s="32"/>
      <c r="BR6" s="33"/>
      <c r="BS6" s="33"/>
      <c r="BT6" s="33"/>
      <c r="BU6" s="33"/>
      <c r="BV6" s="32"/>
      <c r="BW6" s="32"/>
      <c r="BX6" s="33"/>
      <c r="BY6" s="33"/>
      <c r="BZ6" s="33"/>
      <c r="CA6" s="33"/>
      <c r="CB6" s="32"/>
      <c r="CC6" s="32"/>
      <c r="CD6" s="33"/>
      <c r="CE6" s="33"/>
      <c r="CF6" s="33"/>
      <c r="CG6" s="33"/>
      <c r="CH6" s="32"/>
      <c r="CI6" s="32"/>
      <c r="CJ6" s="33"/>
      <c r="CK6" s="33"/>
      <c r="CL6" s="33"/>
      <c r="CM6" s="33"/>
      <c r="CN6" s="32"/>
      <c r="CO6" s="32"/>
      <c r="CP6" s="33"/>
      <c r="CQ6" s="33"/>
      <c r="CR6" s="33"/>
      <c r="CS6" s="33"/>
      <c r="CT6" s="32"/>
      <c r="CU6" s="32"/>
      <c r="CV6" s="33"/>
      <c r="CW6" s="33"/>
      <c r="CX6" s="33"/>
      <c r="CY6" s="33"/>
      <c r="CZ6" s="32"/>
      <c r="DA6" s="32"/>
      <c r="DB6" s="33"/>
      <c r="DC6" s="33"/>
      <c r="DD6" s="33"/>
      <c r="DE6" s="33"/>
      <c r="DF6" s="32">
        <v>100</v>
      </c>
      <c r="DG6" s="32">
        <v>100</v>
      </c>
      <c r="DH6" s="33">
        <v>43</v>
      </c>
      <c r="DI6" s="33">
        <v>100</v>
      </c>
      <c r="DJ6" s="33">
        <v>55</v>
      </c>
      <c r="DK6" s="33">
        <v>40</v>
      </c>
      <c r="DL6" s="86">
        <v>100</v>
      </c>
      <c r="DM6" s="86">
        <v>100</v>
      </c>
      <c r="DN6" s="86">
        <v>100</v>
      </c>
      <c r="DO6" s="86">
        <v>100</v>
      </c>
      <c r="DP6" s="86">
        <v>72.727272727272734</v>
      </c>
      <c r="DQ6" s="33" t="s">
        <v>38</v>
      </c>
      <c r="DR6" s="100">
        <v>100</v>
      </c>
      <c r="DS6" s="100">
        <v>100</v>
      </c>
      <c r="DT6" s="100">
        <v>100</v>
      </c>
      <c r="DU6" s="100" t="s">
        <v>38</v>
      </c>
      <c r="DV6" s="100">
        <v>100</v>
      </c>
      <c r="DW6" s="100" t="s">
        <v>38</v>
      </c>
      <c r="DX6" s="100">
        <v>90.624999999999972</v>
      </c>
      <c r="DY6" s="100">
        <v>100</v>
      </c>
      <c r="DZ6" s="100">
        <v>60</v>
      </c>
      <c r="EA6" s="100" t="s">
        <v>172</v>
      </c>
      <c r="EB6" s="100">
        <v>46.428571428571431</v>
      </c>
      <c r="EC6" s="100" t="s">
        <v>172</v>
      </c>
      <c r="ED6" s="100">
        <v>98.68995633187771</v>
      </c>
      <c r="EE6" s="100">
        <v>96.428571428571416</v>
      </c>
      <c r="EF6" s="100">
        <v>75</v>
      </c>
      <c r="EG6" s="100">
        <v>0</v>
      </c>
      <c r="EH6" s="100">
        <v>81.25</v>
      </c>
      <c r="EI6" s="100">
        <v>0</v>
      </c>
      <c r="EJ6" s="100">
        <v>98.23788546255507</v>
      </c>
      <c r="EK6" s="100">
        <v>88.888888888888886</v>
      </c>
      <c r="EL6" s="100">
        <v>100</v>
      </c>
      <c r="EM6" s="100">
        <v>92.857142857142847</v>
      </c>
      <c r="EN6" s="100">
        <v>81.25</v>
      </c>
      <c r="EO6" s="100">
        <v>1.7857142857142856</v>
      </c>
      <c r="EP6" s="100">
        <v>99</v>
      </c>
      <c r="EQ6" s="100">
        <v>100</v>
      </c>
      <c r="ER6" s="100">
        <v>82</v>
      </c>
      <c r="ES6" s="100">
        <v>96</v>
      </c>
      <c r="ET6" s="100">
        <v>84</v>
      </c>
      <c r="EU6" s="100">
        <v>0</v>
      </c>
      <c r="EV6" s="100">
        <v>96.888888888888886</v>
      </c>
      <c r="EW6" s="100">
        <v>96.296296296296319</v>
      </c>
      <c r="EX6" s="100">
        <v>62.857142857142854</v>
      </c>
      <c r="EY6" s="100">
        <v>89.130434782608674</v>
      </c>
      <c r="EZ6" s="100">
        <v>60.714285714285708</v>
      </c>
      <c r="FA6" s="100">
        <v>0</v>
      </c>
      <c r="FB6" s="100">
        <v>97.41379310344827</v>
      </c>
      <c r="FC6" s="100">
        <v>92</v>
      </c>
      <c r="FD6" s="100">
        <v>87.5</v>
      </c>
      <c r="FE6" s="100">
        <v>20.454545454545457</v>
      </c>
      <c r="FF6" s="100">
        <v>81.25</v>
      </c>
      <c r="FG6" s="100">
        <v>0</v>
      </c>
      <c r="FH6" s="100">
        <v>100</v>
      </c>
      <c r="FI6" s="100">
        <v>98.214285714285694</v>
      </c>
      <c r="FJ6" s="100">
        <v>84.615384615384613</v>
      </c>
      <c r="FK6" s="100">
        <v>0</v>
      </c>
      <c r="FL6" s="100">
        <v>100</v>
      </c>
      <c r="FM6" s="100">
        <v>16.981132075471699</v>
      </c>
      <c r="FN6" s="100">
        <v>100</v>
      </c>
      <c r="FO6" s="100">
        <v>87.804878048780509</v>
      </c>
      <c r="FP6" s="100">
        <v>90</v>
      </c>
      <c r="FQ6" s="100">
        <v>0</v>
      </c>
      <c r="FR6" s="100">
        <v>76.923076923076934</v>
      </c>
      <c r="FS6" s="100">
        <v>23.214285714285715</v>
      </c>
      <c r="FT6" s="100">
        <v>89.371980676328505</v>
      </c>
      <c r="FU6" s="100">
        <v>95.833333333333343</v>
      </c>
      <c r="FV6" s="100">
        <v>100</v>
      </c>
      <c r="FW6" s="100">
        <v>100</v>
      </c>
      <c r="FX6" s="100">
        <v>90.322580645161281</v>
      </c>
      <c r="FY6" s="100">
        <v>40.74074074074074</v>
      </c>
      <c r="FZ6">
        <v>99</v>
      </c>
      <c r="GA6">
        <v>98</v>
      </c>
      <c r="GB6">
        <v>92</v>
      </c>
      <c r="GC6">
        <v>87</v>
      </c>
      <c r="GD6">
        <v>72</v>
      </c>
      <c r="GE6">
        <v>53</v>
      </c>
      <c r="GF6" s="97">
        <v>87.5</v>
      </c>
      <c r="GG6" s="97">
        <v>61.53846153846154</v>
      </c>
      <c r="GH6" s="97">
        <v>72.727272727272734</v>
      </c>
      <c r="GI6" s="97">
        <v>100</v>
      </c>
      <c r="GJ6" s="97">
        <v>41.379310344827587</v>
      </c>
      <c r="GK6" s="97">
        <v>33.333333333333329</v>
      </c>
      <c r="GL6" s="97">
        <v>100</v>
      </c>
      <c r="GM6" s="97">
        <v>62.745098039215684</v>
      </c>
      <c r="GN6" s="97">
        <v>100</v>
      </c>
      <c r="GO6" s="97">
        <v>100</v>
      </c>
      <c r="GP6" s="97">
        <v>96</v>
      </c>
      <c r="GQ6" s="97">
        <v>30.612244897959183</v>
      </c>
      <c r="GR6" s="97">
        <v>100</v>
      </c>
      <c r="GS6" s="97">
        <v>76.923076923076934</v>
      </c>
      <c r="GT6" s="97">
        <v>100</v>
      </c>
      <c r="GU6" s="97">
        <v>95.833333333333343</v>
      </c>
      <c r="GV6">
        <v>68</v>
      </c>
      <c r="GW6" s="97">
        <v>25.806451612903224</v>
      </c>
      <c r="GX6" s="97">
        <v>94.086021505376323</v>
      </c>
      <c r="GY6" s="97">
        <v>76.190476190476204</v>
      </c>
      <c r="GZ6" s="97">
        <v>100</v>
      </c>
      <c r="HA6" s="97">
        <v>0</v>
      </c>
      <c r="HB6" s="97">
        <v>93.3333333333333</v>
      </c>
    </row>
    <row r="7" spans="1:211" x14ac:dyDescent="0.25">
      <c r="A7" s="110" t="s">
        <v>2</v>
      </c>
      <c r="B7" s="32"/>
      <c r="C7" s="32"/>
      <c r="D7" s="33"/>
      <c r="E7" s="33"/>
      <c r="F7" s="33"/>
      <c r="G7" s="33"/>
      <c r="H7" s="32"/>
      <c r="I7" s="32"/>
      <c r="J7" s="33"/>
      <c r="K7" s="33"/>
      <c r="L7" s="33"/>
      <c r="M7" s="33"/>
      <c r="N7" s="32"/>
      <c r="O7" s="32"/>
      <c r="P7" s="33"/>
      <c r="Q7" s="33"/>
      <c r="R7" s="33"/>
      <c r="S7" s="33"/>
      <c r="T7" s="32"/>
      <c r="U7" s="32"/>
      <c r="V7" s="33"/>
      <c r="W7" s="33"/>
      <c r="X7" s="33"/>
      <c r="Y7" s="33"/>
      <c r="Z7" s="32"/>
      <c r="AA7" s="32"/>
      <c r="AB7" s="33"/>
      <c r="AC7" s="33"/>
      <c r="AD7" s="33"/>
      <c r="AE7" s="33"/>
      <c r="AF7" s="32"/>
      <c r="AG7" s="32"/>
      <c r="AH7" s="33"/>
      <c r="AI7" s="33"/>
      <c r="AJ7" s="33"/>
      <c r="AK7" s="33"/>
      <c r="AL7" s="32"/>
      <c r="AM7" s="32"/>
      <c r="AN7" s="33"/>
      <c r="AO7" s="33"/>
      <c r="AP7" s="33"/>
      <c r="AQ7" s="33"/>
      <c r="AR7" s="32"/>
      <c r="AS7" s="32"/>
      <c r="AT7" s="33"/>
      <c r="AU7" s="33"/>
      <c r="AV7" s="33"/>
      <c r="AW7" s="33"/>
      <c r="AX7" s="32"/>
      <c r="AY7" s="32"/>
      <c r="AZ7" s="33"/>
      <c r="BA7" s="33"/>
      <c r="BB7" s="33"/>
      <c r="BC7" s="33"/>
      <c r="BD7" s="32"/>
      <c r="BE7" s="32"/>
      <c r="BF7" s="33"/>
      <c r="BG7" s="33"/>
      <c r="BH7" s="33"/>
      <c r="BI7" s="33"/>
      <c r="BJ7" s="32"/>
      <c r="BK7" s="32"/>
      <c r="BL7" s="33"/>
      <c r="BM7" s="33"/>
      <c r="BN7" s="33"/>
      <c r="BO7" s="33"/>
      <c r="BP7" s="32"/>
      <c r="BQ7" s="32"/>
      <c r="BR7" s="33"/>
      <c r="BS7" s="33"/>
      <c r="BT7" s="33"/>
      <c r="BU7" s="33"/>
      <c r="BV7" s="32"/>
      <c r="BW7" s="32"/>
      <c r="BX7" s="33"/>
      <c r="BY7" s="33"/>
      <c r="BZ7" s="33"/>
      <c r="CA7" s="33"/>
      <c r="CB7" s="32"/>
      <c r="CC7" s="32"/>
      <c r="CD7" s="33"/>
      <c r="CE7" s="33"/>
      <c r="CF7" s="33"/>
      <c r="CG7" s="33"/>
      <c r="CH7" s="32"/>
      <c r="CI7" s="32"/>
      <c r="CJ7" s="33"/>
      <c r="CK7" s="33"/>
      <c r="CL7" s="33"/>
      <c r="CM7" s="33"/>
      <c r="CN7" s="32"/>
      <c r="CO7" s="32"/>
      <c r="CP7" s="33"/>
      <c r="CQ7" s="33"/>
      <c r="CR7" s="33"/>
      <c r="CS7" s="33"/>
      <c r="CT7" s="32"/>
      <c r="CU7" s="32"/>
      <c r="CV7" s="33"/>
      <c r="CW7" s="33"/>
      <c r="CX7" s="33"/>
      <c r="CY7" s="33"/>
      <c r="CZ7" s="32"/>
      <c r="DA7" s="32"/>
      <c r="DB7" s="33"/>
      <c r="DC7" s="33"/>
      <c r="DD7" s="33"/>
      <c r="DE7" s="33"/>
      <c r="DF7" s="32">
        <v>83</v>
      </c>
      <c r="DG7" s="32">
        <v>96</v>
      </c>
      <c r="DH7" s="33">
        <v>86</v>
      </c>
      <c r="DI7" s="33">
        <v>25</v>
      </c>
      <c r="DJ7" s="33">
        <v>91</v>
      </c>
      <c r="DK7" s="33">
        <v>10</v>
      </c>
      <c r="DL7" s="86">
        <v>81.447963800904986</v>
      </c>
      <c r="DM7" s="86">
        <v>87.272727272727266</v>
      </c>
      <c r="DN7" s="86">
        <v>86.666666666666671</v>
      </c>
      <c r="DO7" s="86">
        <v>12.222222222222221</v>
      </c>
      <c r="DP7" s="86">
        <v>100</v>
      </c>
      <c r="DQ7" s="86">
        <v>34.799802273850716</v>
      </c>
      <c r="DR7" s="100">
        <v>83.204930662557771</v>
      </c>
      <c r="DS7" s="100">
        <v>90.566037735849065</v>
      </c>
      <c r="DT7" s="100">
        <v>63.888888888888886</v>
      </c>
      <c r="DU7" s="100">
        <v>43.091168091168079</v>
      </c>
      <c r="DV7" s="100">
        <v>60</v>
      </c>
      <c r="DW7" s="100">
        <v>43.103448275862064</v>
      </c>
      <c r="DX7" s="100">
        <v>68.749999999999986</v>
      </c>
      <c r="DY7" s="100">
        <v>78.431372549019585</v>
      </c>
      <c r="DZ7" s="100">
        <v>42.5</v>
      </c>
      <c r="EA7" s="100">
        <v>30.952380952380949</v>
      </c>
      <c r="EB7" s="100">
        <v>39.285714285714285</v>
      </c>
      <c r="EC7" s="100">
        <v>53.333333333333336</v>
      </c>
      <c r="ED7" s="100">
        <v>74.235807860262014</v>
      </c>
      <c r="EE7" s="100">
        <v>83.928571428571431</v>
      </c>
      <c r="EF7" s="100">
        <v>45</v>
      </c>
      <c r="EG7" s="100">
        <v>6.2499999999999982</v>
      </c>
      <c r="EH7" s="100">
        <v>50</v>
      </c>
      <c r="EI7" s="100">
        <v>28.846153846153843</v>
      </c>
      <c r="EJ7" s="100">
        <v>54.185022026431703</v>
      </c>
      <c r="EK7" s="100">
        <v>59.259259259259267</v>
      </c>
      <c r="EL7" s="100">
        <v>79.411764705882348</v>
      </c>
      <c r="EM7" s="100">
        <v>71.428571428571416</v>
      </c>
      <c r="EN7" s="100">
        <v>56.25</v>
      </c>
      <c r="EO7" s="100">
        <v>0</v>
      </c>
      <c r="EP7" s="100">
        <v>63</v>
      </c>
      <c r="EQ7" s="100">
        <v>57</v>
      </c>
      <c r="ER7" s="100">
        <v>79</v>
      </c>
      <c r="ES7" s="100">
        <v>70</v>
      </c>
      <c r="ET7" s="100">
        <v>63</v>
      </c>
      <c r="EU7" s="100">
        <v>19</v>
      </c>
      <c r="EV7" s="100">
        <v>52</v>
      </c>
      <c r="EW7" s="100">
        <v>68.518518518518519</v>
      </c>
      <c r="EX7" s="100">
        <v>37.142857142857146</v>
      </c>
      <c r="EY7" s="100">
        <v>60.869565217391298</v>
      </c>
      <c r="EZ7" s="100">
        <v>28.571428571428569</v>
      </c>
      <c r="FA7" s="100">
        <v>0</v>
      </c>
      <c r="FB7" s="100">
        <v>51.293103448275865</v>
      </c>
      <c r="FC7" s="100">
        <v>58.000000000000007</v>
      </c>
      <c r="FD7" s="100">
        <v>57.499999999999993</v>
      </c>
      <c r="FE7" s="100">
        <v>20.454545454545457</v>
      </c>
      <c r="FF7" s="100">
        <v>87.5</v>
      </c>
      <c r="FG7" s="100">
        <v>0</v>
      </c>
      <c r="FH7" s="100">
        <v>67.826086956521721</v>
      </c>
      <c r="FI7" s="100">
        <v>55.357142857142861</v>
      </c>
      <c r="FJ7" s="100">
        <v>38.461538461538467</v>
      </c>
      <c r="FK7" s="100">
        <v>12.5</v>
      </c>
      <c r="FL7" s="100">
        <v>62.068965517241381</v>
      </c>
      <c r="FM7" s="100">
        <v>15.09433962264151</v>
      </c>
      <c r="FN7" s="100">
        <v>67.368421052631604</v>
      </c>
      <c r="FO7" s="100">
        <v>60.975609756097569</v>
      </c>
      <c r="FP7" s="100">
        <v>43.333333333333336</v>
      </c>
      <c r="FQ7" s="100">
        <v>50</v>
      </c>
      <c r="FR7" s="100">
        <v>80.769230769230774</v>
      </c>
      <c r="FS7" s="100">
        <v>28.571428571428569</v>
      </c>
      <c r="FT7" s="100">
        <v>63.768115942028992</v>
      </c>
      <c r="FU7" s="100">
        <v>64.583333333333343</v>
      </c>
      <c r="FV7" s="100">
        <v>46.153846153846153</v>
      </c>
      <c r="FW7" s="100">
        <v>21.212121212121211</v>
      </c>
      <c r="FX7" s="100">
        <v>45.161290322580641</v>
      </c>
      <c r="FY7" s="100">
        <v>20.37037037037037</v>
      </c>
      <c r="FZ7">
        <v>57</v>
      </c>
      <c r="GA7">
        <v>90</v>
      </c>
      <c r="GB7">
        <v>37</v>
      </c>
      <c r="GC7">
        <v>30</v>
      </c>
      <c r="GD7">
        <v>60</v>
      </c>
      <c r="GE7">
        <v>42</v>
      </c>
      <c r="GF7" s="97">
        <v>62.019230769230774</v>
      </c>
      <c r="GG7" s="97">
        <v>53.846153846153847</v>
      </c>
      <c r="GH7" s="97">
        <v>51.515151515151516</v>
      </c>
      <c r="GI7" s="97">
        <v>88.235294117647044</v>
      </c>
      <c r="GJ7" s="97">
        <v>48.275862068965516</v>
      </c>
      <c r="GK7" s="97">
        <v>53.333333333333336</v>
      </c>
      <c r="GL7" s="97">
        <v>57.65306122448979</v>
      </c>
      <c r="GM7" s="97">
        <v>37.254901960784316</v>
      </c>
      <c r="GN7" s="97">
        <v>68.750000000000014</v>
      </c>
      <c r="GO7" s="97">
        <v>75.757575757575751</v>
      </c>
      <c r="GP7" s="97">
        <v>72</v>
      </c>
      <c r="GQ7" s="97">
        <v>20.408163265306122</v>
      </c>
      <c r="GR7" s="97">
        <v>57.948717948717942</v>
      </c>
      <c r="GS7" s="97">
        <v>71.79487179487181</v>
      </c>
      <c r="GT7" s="97">
        <v>58.333333333333336</v>
      </c>
      <c r="GU7" s="97">
        <v>70.833333333333343</v>
      </c>
      <c r="GV7">
        <v>72</v>
      </c>
      <c r="GW7" s="97">
        <v>11.29032258064516</v>
      </c>
      <c r="GX7" s="97">
        <v>51.075268817204289</v>
      </c>
      <c r="GY7" s="97">
        <v>52.380952380952387</v>
      </c>
      <c r="GZ7" s="97">
        <v>20</v>
      </c>
      <c r="HA7" s="97">
        <v>15</v>
      </c>
      <c r="HB7" s="97">
        <v>20</v>
      </c>
    </row>
    <row r="8" spans="1:211" x14ac:dyDescent="0.25">
      <c r="A8" s="110" t="s">
        <v>5</v>
      </c>
      <c r="B8" s="32"/>
      <c r="C8" s="32"/>
      <c r="D8" s="33"/>
      <c r="E8" s="33"/>
      <c r="F8" s="33"/>
      <c r="G8" s="33"/>
      <c r="H8" s="32"/>
      <c r="I8" s="32"/>
      <c r="J8" s="33"/>
      <c r="K8" s="33"/>
      <c r="L8" s="33"/>
      <c r="M8" s="33"/>
      <c r="N8" s="32"/>
      <c r="O8" s="32"/>
      <c r="P8" s="33"/>
      <c r="Q8" s="33"/>
      <c r="R8" s="33"/>
      <c r="S8" s="33"/>
      <c r="T8" s="32"/>
      <c r="U8" s="32"/>
      <c r="V8" s="33"/>
      <c r="W8" s="33"/>
      <c r="X8" s="33"/>
      <c r="Y8" s="33"/>
      <c r="Z8" s="32"/>
      <c r="AA8" s="32"/>
      <c r="AB8" s="33"/>
      <c r="AC8" s="33"/>
      <c r="AD8" s="33"/>
      <c r="AE8" s="33"/>
      <c r="AF8" s="32"/>
      <c r="AG8" s="32"/>
      <c r="AH8" s="33"/>
      <c r="AI8" s="33"/>
      <c r="AJ8" s="33"/>
      <c r="AK8" s="33"/>
      <c r="AL8" s="32"/>
      <c r="AM8" s="32"/>
      <c r="AN8" s="33"/>
      <c r="AO8" s="33"/>
      <c r="AP8" s="33"/>
      <c r="AQ8" s="33"/>
      <c r="AR8" s="32"/>
      <c r="AS8" s="32"/>
      <c r="AT8" s="33"/>
      <c r="AU8" s="33"/>
      <c r="AV8" s="33"/>
      <c r="AW8" s="33"/>
      <c r="AX8" s="32"/>
      <c r="AY8" s="32"/>
      <c r="AZ8" s="33"/>
      <c r="BA8" s="33"/>
      <c r="BB8" s="33"/>
      <c r="BC8" s="33"/>
      <c r="BD8" s="32"/>
      <c r="BE8" s="32"/>
      <c r="BF8" s="33"/>
      <c r="BG8" s="33"/>
      <c r="BH8" s="33"/>
      <c r="BI8" s="33"/>
      <c r="BJ8" s="32"/>
      <c r="BK8" s="32"/>
      <c r="BL8" s="33"/>
      <c r="BM8" s="33"/>
      <c r="BN8" s="33"/>
      <c r="BO8" s="33"/>
      <c r="BP8" s="32"/>
      <c r="BQ8" s="32"/>
      <c r="BR8" s="33"/>
      <c r="BS8" s="33"/>
      <c r="BT8" s="33"/>
      <c r="BU8" s="33"/>
      <c r="BV8" s="32"/>
      <c r="BW8" s="32"/>
      <c r="BX8" s="33"/>
      <c r="BY8" s="33"/>
      <c r="BZ8" s="33"/>
      <c r="CA8" s="33"/>
      <c r="CB8" s="32"/>
      <c r="CC8" s="32"/>
      <c r="CD8" s="33"/>
      <c r="CE8" s="33"/>
      <c r="CF8" s="33"/>
      <c r="CG8" s="33"/>
      <c r="CH8" s="32"/>
      <c r="CI8" s="32"/>
      <c r="CJ8" s="33"/>
      <c r="CK8" s="33"/>
      <c r="CL8" s="33"/>
      <c r="CM8" s="33"/>
      <c r="CN8" s="32"/>
      <c r="CO8" s="32"/>
      <c r="CP8" s="33"/>
      <c r="CQ8" s="33"/>
      <c r="CR8" s="33"/>
      <c r="CS8" s="33"/>
      <c r="CT8" s="32"/>
      <c r="CU8" s="32"/>
      <c r="CV8" s="33"/>
      <c r="CW8" s="33"/>
      <c r="CX8" s="33"/>
      <c r="CY8" s="33"/>
      <c r="CZ8" s="32"/>
      <c r="DA8" s="32"/>
      <c r="DB8" s="33"/>
      <c r="DC8" s="33"/>
      <c r="DD8" s="33"/>
      <c r="DE8" s="33"/>
      <c r="DF8" s="32">
        <v>80</v>
      </c>
      <c r="DG8" s="32">
        <v>73</v>
      </c>
      <c r="DH8" s="33">
        <v>100</v>
      </c>
      <c r="DI8" s="33">
        <v>25</v>
      </c>
      <c r="DJ8" s="33">
        <v>100</v>
      </c>
      <c r="DK8" s="33">
        <v>25</v>
      </c>
      <c r="DL8" s="86">
        <v>71.945701357466078</v>
      </c>
      <c r="DM8" s="86">
        <v>67.272727272727266</v>
      </c>
      <c r="DN8" s="86">
        <v>73.333333333333329</v>
      </c>
      <c r="DO8" s="86">
        <v>11.111111111111111</v>
      </c>
      <c r="DP8" s="86">
        <v>100</v>
      </c>
      <c r="DQ8" s="86">
        <v>9.490855165595649</v>
      </c>
      <c r="DR8" s="100">
        <v>70.454545454545453</v>
      </c>
      <c r="DS8" s="100">
        <v>69.811320754716988</v>
      </c>
      <c r="DT8" s="100">
        <v>50</v>
      </c>
      <c r="DU8" s="100">
        <v>15.08190883190883</v>
      </c>
      <c r="DV8" s="100">
        <v>80</v>
      </c>
      <c r="DW8" s="100">
        <v>3.4482758620689653</v>
      </c>
      <c r="DX8" s="100">
        <v>67.857142857142847</v>
      </c>
      <c r="DY8" s="100">
        <v>58.823529411764696</v>
      </c>
      <c r="DZ8" s="100">
        <v>30</v>
      </c>
      <c r="EA8" s="100">
        <v>26.190476190476186</v>
      </c>
      <c r="EB8" s="100">
        <v>60.714285714285708</v>
      </c>
      <c r="EC8" s="100">
        <v>10</v>
      </c>
      <c r="ED8" s="100">
        <v>69.432314410480345</v>
      </c>
      <c r="EE8" s="100">
        <v>66.071428571428569</v>
      </c>
      <c r="EF8" s="100">
        <v>30</v>
      </c>
      <c r="EG8" s="100">
        <v>14.583333333333332</v>
      </c>
      <c r="EH8" s="100">
        <v>68.75</v>
      </c>
      <c r="EI8" s="100">
        <v>0</v>
      </c>
      <c r="EJ8" s="100">
        <v>66.960352422907491</v>
      </c>
      <c r="EK8" s="100">
        <v>50</v>
      </c>
      <c r="EL8" s="100">
        <v>61.764705882352942</v>
      </c>
      <c r="EM8" s="100">
        <v>52.380952380952372</v>
      </c>
      <c r="EN8" s="100">
        <v>68.75</v>
      </c>
      <c r="EO8" s="100">
        <v>1.7857142857142856</v>
      </c>
      <c r="EP8" s="100">
        <v>65</v>
      </c>
      <c r="EQ8" s="100">
        <v>60</v>
      </c>
      <c r="ER8" s="100">
        <v>54</v>
      </c>
      <c r="ES8" s="100">
        <v>62</v>
      </c>
      <c r="ET8" s="100">
        <v>75</v>
      </c>
      <c r="EU8" s="100">
        <v>0</v>
      </c>
      <c r="EV8" s="100">
        <v>68.444444444444443</v>
      </c>
      <c r="EW8" s="100">
        <v>61.111111111111128</v>
      </c>
      <c r="EX8" s="100">
        <v>31.428571428571427</v>
      </c>
      <c r="EY8" s="100">
        <v>56.521739130434788</v>
      </c>
      <c r="EZ8" s="100">
        <v>64.285714285714292</v>
      </c>
      <c r="FA8" s="100">
        <v>0</v>
      </c>
      <c r="FB8" s="100">
        <v>65.948275862068954</v>
      </c>
      <c r="FC8" s="100">
        <v>58.000000000000007</v>
      </c>
      <c r="FD8" s="100">
        <v>52.5</v>
      </c>
      <c r="FE8" s="100">
        <v>22.727272727272734</v>
      </c>
      <c r="FF8" s="100">
        <v>87.5</v>
      </c>
      <c r="FG8" s="100">
        <v>76.59574468085107</v>
      </c>
      <c r="FH8" s="100">
        <v>68.260869565217391</v>
      </c>
      <c r="FI8" s="100">
        <v>57.142857142857139</v>
      </c>
      <c r="FJ8" s="100">
        <v>30.76923076923077</v>
      </c>
      <c r="FK8" s="100">
        <v>16.666666666666664</v>
      </c>
      <c r="FL8" s="100">
        <v>75.862068965517238</v>
      </c>
      <c r="FM8" s="100">
        <v>43.39622641509434</v>
      </c>
      <c r="FN8" s="100">
        <v>78.947368421052659</v>
      </c>
      <c r="FO8" s="100">
        <v>65.853658536585371</v>
      </c>
      <c r="FP8" s="100">
        <v>40</v>
      </c>
      <c r="FQ8" s="100">
        <v>37.499999999999993</v>
      </c>
      <c r="FR8" s="100">
        <v>84.615384615384613</v>
      </c>
      <c r="FS8" s="100">
        <v>37.5</v>
      </c>
      <c r="FT8" s="100">
        <v>68.115942028985515</v>
      </c>
      <c r="FU8" s="100">
        <v>70.833333333333343</v>
      </c>
      <c r="FV8" s="100">
        <v>84.615384615384613</v>
      </c>
      <c r="FW8" s="100">
        <v>0</v>
      </c>
      <c r="FX8" s="100">
        <v>77.41935483870968</v>
      </c>
      <c r="FY8" s="100">
        <v>16.666666666666664</v>
      </c>
      <c r="FZ8">
        <v>69</v>
      </c>
      <c r="GA8">
        <v>77</v>
      </c>
      <c r="GB8">
        <v>76</v>
      </c>
      <c r="GC8">
        <v>13</v>
      </c>
      <c r="GD8">
        <v>84</v>
      </c>
      <c r="GE8">
        <v>63</v>
      </c>
      <c r="GF8" s="97">
        <v>68.269230769230774</v>
      </c>
      <c r="GG8" s="97">
        <v>65.384615384615387</v>
      </c>
      <c r="GH8" s="97">
        <v>78.787878787878782</v>
      </c>
      <c r="GI8" s="97">
        <v>55.882352941176464</v>
      </c>
      <c r="GJ8" s="97">
        <v>93.103448275862064</v>
      </c>
      <c r="GK8" s="97">
        <v>48.888888888888886</v>
      </c>
      <c r="GL8" s="97">
        <v>63.775510204081634</v>
      </c>
      <c r="GM8" s="97">
        <v>58.82352941176471</v>
      </c>
      <c r="GN8" s="97">
        <v>40.625</v>
      </c>
      <c r="GO8" s="97">
        <v>0</v>
      </c>
      <c r="GP8" s="97">
        <v>80</v>
      </c>
      <c r="GQ8" s="97">
        <v>16.326530612244898</v>
      </c>
      <c r="GR8" s="97">
        <v>69.230769230769226</v>
      </c>
      <c r="GS8" s="97">
        <v>69.230769230769226</v>
      </c>
      <c r="GT8" s="97">
        <v>66.666666666666657</v>
      </c>
      <c r="GU8" s="97">
        <v>54.16666666666665</v>
      </c>
      <c r="GV8">
        <v>96</v>
      </c>
      <c r="GW8" s="97">
        <v>6.4516129032258061</v>
      </c>
      <c r="GX8" s="97">
        <v>55.913978494623649</v>
      </c>
      <c r="GY8" s="97">
        <v>61.904761904761905</v>
      </c>
      <c r="GZ8" s="97">
        <v>25</v>
      </c>
      <c r="HA8" s="97">
        <v>0</v>
      </c>
      <c r="HB8" s="97">
        <v>46.666666666666664</v>
      </c>
    </row>
    <row r="9" spans="1:211" x14ac:dyDescent="0.25">
      <c r="A9" s="110" t="s">
        <v>211</v>
      </c>
      <c r="B9" s="32"/>
      <c r="C9" s="32"/>
      <c r="D9" s="33"/>
      <c r="E9" s="33"/>
      <c r="F9" s="33"/>
      <c r="G9" s="33"/>
      <c r="H9" s="32"/>
      <c r="I9" s="32"/>
      <c r="J9" s="33"/>
      <c r="K9" s="33"/>
      <c r="L9" s="33"/>
      <c r="M9" s="33"/>
      <c r="N9" s="32"/>
      <c r="O9" s="32"/>
      <c r="P9" s="33"/>
      <c r="Q9" s="33"/>
      <c r="R9" s="33"/>
      <c r="S9" s="33"/>
      <c r="T9" s="32"/>
      <c r="U9" s="32"/>
      <c r="V9" s="33"/>
      <c r="W9" s="33"/>
      <c r="X9" s="33"/>
      <c r="Y9" s="33"/>
      <c r="Z9" s="32"/>
      <c r="AA9" s="32"/>
      <c r="AB9" s="33"/>
      <c r="AC9" s="33"/>
      <c r="AD9" s="33"/>
      <c r="AE9" s="33"/>
      <c r="AF9" s="32"/>
      <c r="AG9" s="32"/>
      <c r="AH9" s="33"/>
      <c r="AI9" s="33"/>
      <c r="AJ9" s="33"/>
      <c r="AK9" s="33"/>
      <c r="AL9" s="32"/>
      <c r="AM9" s="32"/>
      <c r="AN9" s="33"/>
      <c r="AO9" s="33"/>
      <c r="AP9" s="33"/>
      <c r="AQ9" s="33"/>
      <c r="AR9" s="32"/>
      <c r="AS9" s="32"/>
      <c r="AT9" s="33"/>
      <c r="AU9" s="33"/>
      <c r="AV9" s="33"/>
      <c r="AW9" s="33"/>
      <c r="AX9" s="32"/>
      <c r="AY9" s="32"/>
      <c r="AZ9" s="33"/>
      <c r="BA9" s="33"/>
      <c r="BB9" s="33"/>
      <c r="BC9" s="33"/>
      <c r="BD9" s="32"/>
      <c r="BE9" s="32"/>
      <c r="BF9" s="33"/>
      <c r="BG9" s="33"/>
      <c r="BH9" s="33"/>
      <c r="BI9" s="33"/>
      <c r="BJ9" s="32"/>
      <c r="BK9" s="32"/>
      <c r="BL9" s="33"/>
      <c r="BM9" s="33"/>
      <c r="BN9" s="33"/>
      <c r="BO9" s="33"/>
      <c r="BP9" s="32"/>
      <c r="BQ9" s="32"/>
      <c r="BR9" s="33"/>
      <c r="BS9" s="33"/>
      <c r="BT9" s="33"/>
      <c r="BU9" s="33"/>
      <c r="BV9" s="32"/>
      <c r="BW9" s="32"/>
      <c r="BX9" s="33"/>
      <c r="BY9" s="33"/>
      <c r="BZ9" s="33"/>
      <c r="CA9" s="33"/>
      <c r="CB9" s="32"/>
      <c r="CC9" s="32"/>
      <c r="CD9" s="33"/>
      <c r="CE9" s="33"/>
      <c r="CF9" s="33"/>
      <c r="CG9" s="33"/>
      <c r="CH9" s="32"/>
      <c r="CI9" s="32"/>
      <c r="CJ9" s="33"/>
      <c r="CK9" s="33"/>
      <c r="CL9" s="33"/>
      <c r="CM9" s="33"/>
      <c r="CN9" s="32"/>
      <c r="CO9" s="32"/>
      <c r="CP9" s="33"/>
      <c r="CQ9" s="33"/>
      <c r="CR9" s="33"/>
      <c r="CS9" s="33"/>
      <c r="CT9" s="32"/>
      <c r="CU9" s="32"/>
      <c r="CV9" s="33"/>
      <c r="CW9" s="33"/>
      <c r="CX9" s="33"/>
      <c r="CY9" s="33"/>
      <c r="CZ9" s="32"/>
      <c r="DA9" s="32"/>
      <c r="DB9" s="33"/>
      <c r="DC9" s="33"/>
      <c r="DD9" s="33"/>
      <c r="DE9" s="33"/>
      <c r="DF9" s="32">
        <v>74</v>
      </c>
      <c r="DG9" s="32">
        <v>90</v>
      </c>
      <c r="DH9" s="33">
        <v>64</v>
      </c>
      <c r="DI9" s="33">
        <v>71</v>
      </c>
      <c r="DJ9" s="33">
        <v>9</v>
      </c>
      <c r="DK9" s="33">
        <v>27</v>
      </c>
      <c r="DL9" s="86">
        <v>93.665158371040732</v>
      </c>
      <c r="DM9" s="86">
        <v>98.181818181818173</v>
      </c>
      <c r="DN9" s="86">
        <v>56.666666666666664</v>
      </c>
      <c r="DO9" s="86">
        <v>100</v>
      </c>
      <c r="DP9" s="86">
        <v>50</v>
      </c>
      <c r="DQ9" s="87" t="s">
        <v>38</v>
      </c>
      <c r="DR9" s="100">
        <v>100.1279674074848</v>
      </c>
      <c r="DS9" s="100">
        <v>90.566037735849065</v>
      </c>
      <c r="DT9" s="100">
        <v>91.666666666666657</v>
      </c>
      <c r="DU9" s="100" t="s">
        <v>38</v>
      </c>
      <c r="DV9" s="100">
        <v>80</v>
      </c>
      <c r="DW9" s="100" t="s">
        <v>38</v>
      </c>
      <c r="DX9" s="100">
        <v>66.517857142857125</v>
      </c>
      <c r="DY9" s="100">
        <v>88.235294117647058</v>
      </c>
      <c r="DZ9" s="100">
        <v>47.5</v>
      </c>
      <c r="EA9" s="100" t="s">
        <v>172</v>
      </c>
      <c r="EB9" s="100">
        <v>17.857142857142858</v>
      </c>
      <c r="EC9" s="100" t="s">
        <v>172</v>
      </c>
      <c r="ED9" s="100">
        <v>83.84279475982531</v>
      </c>
      <c r="EE9" s="100">
        <v>100</v>
      </c>
      <c r="EF9" s="100">
        <v>55.000000000000007</v>
      </c>
      <c r="EG9" s="100">
        <v>0</v>
      </c>
      <c r="EH9" s="100">
        <v>34.375</v>
      </c>
      <c r="EI9" s="100">
        <v>0</v>
      </c>
      <c r="EJ9" s="100">
        <v>87.665198237885463</v>
      </c>
      <c r="EK9" s="100">
        <v>96.296296296296305</v>
      </c>
      <c r="EL9" s="100">
        <v>64.705882352941188</v>
      </c>
      <c r="EM9" s="100">
        <v>100</v>
      </c>
      <c r="EN9" s="100">
        <v>34.375</v>
      </c>
      <c r="EO9" s="100">
        <v>0</v>
      </c>
      <c r="EP9" s="100">
        <v>90</v>
      </c>
      <c r="EQ9" s="100">
        <v>89</v>
      </c>
      <c r="ER9" s="100">
        <v>64</v>
      </c>
      <c r="ES9" s="100">
        <v>96</v>
      </c>
      <c r="ET9" s="100">
        <v>50</v>
      </c>
      <c r="EU9" s="100">
        <v>0</v>
      </c>
      <c r="EV9" s="100">
        <v>81.777777777777786</v>
      </c>
      <c r="EW9" s="100">
        <v>94.444444444444457</v>
      </c>
      <c r="EX9" s="100">
        <v>57.142857142857139</v>
      </c>
      <c r="EY9" s="100">
        <v>89.130434782608674</v>
      </c>
      <c r="EZ9" s="100">
        <v>50</v>
      </c>
      <c r="FA9" s="100">
        <v>0</v>
      </c>
      <c r="FB9" s="100">
        <v>87.068965517241381</v>
      </c>
      <c r="FC9" s="100">
        <v>94</v>
      </c>
      <c r="FD9" s="100">
        <v>57.499999999999993</v>
      </c>
      <c r="FE9" s="100">
        <v>22.727272727272734</v>
      </c>
      <c r="FF9" s="100">
        <v>56.25</v>
      </c>
      <c r="FG9" s="100">
        <v>0</v>
      </c>
      <c r="FH9" s="100">
        <v>76.956521739130437</v>
      </c>
      <c r="FI9" s="100">
        <v>87.5</v>
      </c>
      <c r="FJ9" s="100">
        <v>74.358974358974365</v>
      </c>
      <c r="FK9" s="100">
        <v>0</v>
      </c>
      <c r="FL9" s="100">
        <v>75.862068965517238</v>
      </c>
      <c r="FM9" s="100">
        <v>11.320754716981133</v>
      </c>
      <c r="FN9" s="100">
        <v>80.526315789473685</v>
      </c>
      <c r="FO9" s="100">
        <v>80.487804878048792</v>
      </c>
      <c r="FP9" s="100">
        <v>83.333333333333343</v>
      </c>
      <c r="FQ9" s="100">
        <v>0</v>
      </c>
      <c r="FR9" s="100">
        <v>84.615384615384613</v>
      </c>
      <c r="FS9" s="100">
        <v>35.714285714285715</v>
      </c>
      <c r="FT9" s="100">
        <v>24.637681159420293</v>
      </c>
      <c r="FU9" s="100">
        <v>0</v>
      </c>
      <c r="FV9" s="100">
        <v>0</v>
      </c>
      <c r="FW9" s="100">
        <v>12.121212121212119</v>
      </c>
      <c r="FX9" s="100">
        <v>0</v>
      </c>
      <c r="FY9" s="100">
        <v>0</v>
      </c>
      <c r="FZ9">
        <v>26</v>
      </c>
      <c r="GA9">
        <v>0</v>
      </c>
      <c r="GB9">
        <v>11</v>
      </c>
      <c r="GC9">
        <v>0</v>
      </c>
      <c r="GD9">
        <v>0</v>
      </c>
      <c r="GE9">
        <v>0</v>
      </c>
      <c r="GF9" s="97">
        <v>26.923076923076923</v>
      </c>
      <c r="GG9" s="97">
        <v>0</v>
      </c>
      <c r="GH9" s="97">
        <v>0</v>
      </c>
      <c r="GI9" s="97">
        <v>0</v>
      </c>
      <c r="GJ9" s="97">
        <v>13.793103448275861</v>
      </c>
      <c r="GK9" s="97">
        <v>0</v>
      </c>
      <c r="GL9" s="97">
        <v>25</v>
      </c>
      <c r="GM9" s="97">
        <v>0</v>
      </c>
      <c r="GN9" s="97">
        <v>0</v>
      </c>
      <c r="GO9" s="97">
        <v>0</v>
      </c>
      <c r="GP9" s="97">
        <v>0</v>
      </c>
      <c r="GQ9" s="97">
        <v>0</v>
      </c>
      <c r="GR9" s="97">
        <v>31.282051282051277</v>
      </c>
      <c r="GS9" s="97">
        <v>0</v>
      </c>
      <c r="GT9" s="97">
        <v>0</v>
      </c>
      <c r="GU9" s="97">
        <v>0</v>
      </c>
      <c r="GV9">
        <v>4</v>
      </c>
      <c r="GW9" s="97">
        <v>0</v>
      </c>
      <c r="GX9" s="97">
        <v>17.20430107526882</v>
      </c>
      <c r="GY9" s="97">
        <v>0</v>
      </c>
      <c r="GZ9" s="97">
        <v>0</v>
      </c>
      <c r="HA9" s="97">
        <v>19.999999999999993</v>
      </c>
      <c r="HB9" s="97">
        <v>0</v>
      </c>
    </row>
    <row r="10" spans="1:211" x14ac:dyDescent="0.25">
      <c r="A10" s="110" t="s">
        <v>4</v>
      </c>
      <c r="B10" s="32"/>
      <c r="C10" s="32"/>
      <c r="D10" s="33"/>
      <c r="E10" s="33"/>
      <c r="F10" s="33"/>
      <c r="G10" s="33"/>
      <c r="H10" s="32"/>
      <c r="I10" s="32"/>
      <c r="J10" s="33"/>
      <c r="K10" s="33"/>
      <c r="L10" s="33"/>
      <c r="M10" s="33"/>
      <c r="N10" s="32"/>
      <c r="O10" s="32"/>
      <c r="P10" s="33"/>
      <c r="Q10" s="33"/>
      <c r="R10" s="33"/>
      <c r="S10" s="33"/>
      <c r="T10" s="32"/>
      <c r="U10" s="32"/>
      <c r="V10" s="33"/>
      <c r="W10" s="33"/>
      <c r="X10" s="33"/>
      <c r="Y10" s="33"/>
      <c r="Z10" s="32"/>
      <c r="AA10" s="32"/>
      <c r="AB10" s="33"/>
      <c r="AC10" s="33"/>
      <c r="AD10" s="33"/>
      <c r="AE10" s="33"/>
      <c r="AF10" s="32"/>
      <c r="AG10" s="32"/>
      <c r="AH10" s="33"/>
      <c r="AI10" s="33"/>
      <c r="AJ10" s="33"/>
      <c r="AK10" s="33"/>
      <c r="AL10" s="32"/>
      <c r="AM10" s="32"/>
      <c r="AN10" s="33"/>
      <c r="AO10" s="33"/>
      <c r="AP10" s="33"/>
      <c r="AQ10" s="33"/>
      <c r="AR10" s="32"/>
      <c r="AS10" s="32"/>
      <c r="AT10" s="33"/>
      <c r="AU10" s="33"/>
      <c r="AV10" s="33"/>
      <c r="AW10" s="33"/>
      <c r="AX10" s="32"/>
      <c r="AY10" s="32"/>
      <c r="AZ10" s="33"/>
      <c r="BA10" s="33"/>
      <c r="BB10" s="33"/>
      <c r="BC10" s="33"/>
      <c r="BD10" s="32"/>
      <c r="BE10" s="32"/>
      <c r="BF10" s="33"/>
      <c r="BG10" s="33"/>
      <c r="BH10" s="33"/>
      <c r="BI10" s="33"/>
      <c r="BJ10" s="32"/>
      <c r="BK10" s="32"/>
      <c r="BL10" s="33"/>
      <c r="BM10" s="33"/>
      <c r="BN10" s="33"/>
      <c r="BO10" s="33"/>
      <c r="BP10" s="32"/>
      <c r="BQ10" s="32"/>
      <c r="BR10" s="33"/>
      <c r="BS10" s="33"/>
      <c r="BT10" s="33"/>
      <c r="BU10" s="33"/>
      <c r="BV10" s="32"/>
      <c r="BW10" s="32"/>
      <c r="BX10" s="33"/>
      <c r="BY10" s="33"/>
      <c r="BZ10" s="33"/>
      <c r="CA10" s="33"/>
      <c r="CB10" s="32"/>
      <c r="CC10" s="32"/>
      <c r="CD10" s="33"/>
      <c r="CE10" s="33"/>
      <c r="CF10" s="33"/>
      <c r="CG10" s="33"/>
      <c r="CH10" s="32"/>
      <c r="CI10" s="32"/>
      <c r="CJ10" s="33"/>
      <c r="CK10" s="33"/>
      <c r="CL10" s="33"/>
      <c r="CM10" s="33"/>
      <c r="CN10" s="32"/>
      <c r="CO10" s="32"/>
      <c r="CP10" s="33"/>
      <c r="CQ10" s="33"/>
      <c r="CR10" s="33"/>
      <c r="CS10" s="33"/>
      <c r="CT10" s="32"/>
      <c r="CU10" s="32"/>
      <c r="CV10" s="33"/>
      <c r="CW10" s="33"/>
      <c r="CX10" s="33"/>
      <c r="CY10" s="33"/>
      <c r="CZ10" s="32"/>
      <c r="DA10" s="32"/>
      <c r="DB10" s="33"/>
      <c r="DC10" s="33"/>
      <c r="DD10" s="33"/>
      <c r="DE10" s="33"/>
      <c r="DF10" s="32">
        <v>71</v>
      </c>
      <c r="DG10" s="32">
        <v>69</v>
      </c>
      <c r="DH10" s="33">
        <v>14</v>
      </c>
      <c r="DI10" s="33">
        <v>6</v>
      </c>
      <c r="DJ10" s="33">
        <v>64</v>
      </c>
      <c r="DK10" s="33">
        <v>100</v>
      </c>
      <c r="DL10" s="86">
        <v>57.013574660633495</v>
      </c>
      <c r="DM10" s="86">
        <v>49.090909090909093</v>
      </c>
      <c r="DN10" s="86">
        <v>80</v>
      </c>
      <c r="DO10" s="86">
        <v>11.111111111111109</v>
      </c>
      <c r="DP10" s="86">
        <v>72.727272727272734</v>
      </c>
      <c r="DQ10" s="86">
        <v>80.672268907563023</v>
      </c>
      <c r="DR10" s="100">
        <v>60.909090909090899</v>
      </c>
      <c r="DS10" s="100">
        <v>47.169811320754718</v>
      </c>
      <c r="DT10" s="100">
        <v>61.111111111111114</v>
      </c>
      <c r="DU10" s="100">
        <v>28.009259259259256</v>
      </c>
      <c r="DV10" s="100">
        <v>68</v>
      </c>
      <c r="DW10" s="100">
        <v>82.758620689655174</v>
      </c>
      <c r="DX10" s="100">
        <v>40.624999999999993</v>
      </c>
      <c r="DY10" s="100">
        <v>41.17647058823529</v>
      </c>
      <c r="DZ10" s="100">
        <v>62.5</v>
      </c>
      <c r="EA10" s="100">
        <v>0</v>
      </c>
      <c r="EB10" s="100">
        <v>53.571428571428569</v>
      </c>
      <c r="EC10" s="100">
        <v>85</v>
      </c>
      <c r="ED10" s="100">
        <v>39.301310043668117</v>
      </c>
      <c r="EE10" s="100">
        <v>62.5</v>
      </c>
      <c r="EF10" s="100">
        <v>42.5</v>
      </c>
      <c r="EG10" s="100">
        <v>20.833333333333325</v>
      </c>
      <c r="EH10" s="100">
        <v>43.75</v>
      </c>
      <c r="EI10" s="100">
        <v>76.923076923076934</v>
      </c>
      <c r="EJ10" s="100">
        <v>51.541850220264315</v>
      </c>
      <c r="EK10" s="100">
        <v>46.296296296296305</v>
      </c>
      <c r="EL10" s="100">
        <v>70.588235294117652</v>
      </c>
      <c r="EM10" s="100">
        <v>47.61904761904762</v>
      </c>
      <c r="EN10" s="100">
        <v>50</v>
      </c>
      <c r="EO10" s="100">
        <v>100</v>
      </c>
      <c r="EP10" s="100">
        <v>53</v>
      </c>
      <c r="EQ10" s="100">
        <v>40</v>
      </c>
      <c r="ER10" s="100">
        <v>92</v>
      </c>
      <c r="ES10" s="100">
        <v>66</v>
      </c>
      <c r="ET10" s="100">
        <v>63</v>
      </c>
      <c r="EU10" s="100">
        <v>81</v>
      </c>
      <c r="EV10" s="100">
        <v>51.111111111111107</v>
      </c>
      <c r="EW10" s="100">
        <v>57.407407407407419</v>
      </c>
      <c r="EX10" s="100">
        <v>65.714285714285708</v>
      </c>
      <c r="EY10" s="100">
        <v>60.869565217391298</v>
      </c>
      <c r="EZ10" s="100">
        <v>64.285714285714292</v>
      </c>
      <c r="FA10" s="100">
        <v>100</v>
      </c>
      <c r="FB10" s="100">
        <v>56.034482758620683</v>
      </c>
      <c r="FC10" s="100">
        <v>44</v>
      </c>
      <c r="FD10" s="100">
        <v>80</v>
      </c>
      <c r="FE10" s="100">
        <v>29.54545454545454</v>
      </c>
      <c r="FF10" s="100">
        <v>87.5</v>
      </c>
      <c r="FG10" s="100">
        <v>53.191489361702125</v>
      </c>
      <c r="FH10" s="100">
        <v>58.260869565217391</v>
      </c>
      <c r="FI10" s="100">
        <v>57.142857142857139</v>
      </c>
      <c r="FJ10" s="100">
        <v>33.333333333333329</v>
      </c>
      <c r="FK10" s="100">
        <v>25</v>
      </c>
      <c r="FL10" s="100">
        <v>79.310344827586206</v>
      </c>
      <c r="FM10" s="100">
        <v>90.566037735849065</v>
      </c>
      <c r="FN10" s="100">
        <v>67.368421052631604</v>
      </c>
      <c r="FO10" s="100">
        <v>51.219512195121951</v>
      </c>
      <c r="FP10" s="100">
        <v>63.333333333333329</v>
      </c>
      <c r="FQ10" s="100">
        <v>30</v>
      </c>
      <c r="FR10" s="100">
        <v>88.461538461538453</v>
      </c>
      <c r="FS10" s="100">
        <v>92.857142857142861</v>
      </c>
      <c r="FT10" s="100">
        <v>67.149758454106291</v>
      </c>
      <c r="FU10" s="100">
        <v>79.166666666666671</v>
      </c>
      <c r="FV10" s="100">
        <v>97.435897435897431</v>
      </c>
      <c r="FW10" s="100">
        <v>36.363636363636367</v>
      </c>
      <c r="FX10" s="100">
        <v>83.870967741935488</v>
      </c>
      <c r="FY10" s="100">
        <v>100</v>
      </c>
      <c r="FZ10">
        <v>70</v>
      </c>
      <c r="GA10">
        <v>73</v>
      </c>
      <c r="GB10">
        <v>61</v>
      </c>
      <c r="GC10">
        <v>35</v>
      </c>
      <c r="GD10">
        <v>100</v>
      </c>
      <c r="GE10">
        <v>27</v>
      </c>
      <c r="GF10" s="97">
        <v>63.461538461538467</v>
      </c>
      <c r="GG10" s="97">
        <v>44.230769230769226</v>
      </c>
      <c r="GH10" s="97">
        <v>63.636363636363633</v>
      </c>
      <c r="GI10" s="97">
        <v>23.529411764705873</v>
      </c>
      <c r="GJ10" s="97">
        <v>86.206896551724128</v>
      </c>
      <c r="GK10" s="97">
        <v>42.222222222222221</v>
      </c>
      <c r="GL10" s="97">
        <v>66.326530612244895</v>
      </c>
      <c r="GM10" s="97">
        <v>43.137254901960787</v>
      </c>
      <c r="GN10" s="97">
        <v>75</v>
      </c>
      <c r="GO10" s="97">
        <v>9.0909090909090917</v>
      </c>
      <c r="GP10" s="97">
        <v>100</v>
      </c>
      <c r="GQ10" s="97">
        <v>0</v>
      </c>
      <c r="GR10" s="97">
        <v>49.230769230769226</v>
      </c>
      <c r="GS10" s="97">
        <v>53.846153846153847</v>
      </c>
      <c r="GT10" s="97">
        <v>50</v>
      </c>
      <c r="GU10" s="97">
        <v>50</v>
      </c>
      <c r="GV10">
        <v>96</v>
      </c>
      <c r="GW10" s="119">
        <v>40.322580645161288</v>
      </c>
      <c r="GX10" s="97">
        <v>61.827956989247312</v>
      </c>
      <c r="GY10" s="97">
        <v>45.238095238095241</v>
      </c>
      <c r="GZ10" s="97">
        <v>50</v>
      </c>
      <c r="HA10" s="97">
        <v>15</v>
      </c>
      <c r="HB10" s="97">
        <v>83.333333333333343</v>
      </c>
    </row>
    <row r="11" spans="1:211" x14ac:dyDescent="0.25">
      <c r="A11" s="110" t="s">
        <v>220</v>
      </c>
      <c r="B11" s="32"/>
      <c r="C11" s="32"/>
      <c r="D11" s="33"/>
      <c r="E11" s="33"/>
      <c r="F11" s="33"/>
      <c r="G11" s="33"/>
      <c r="H11" s="32"/>
      <c r="I11" s="32"/>
      <c r="J11" s="33"/>
      <c r="K11" s="33"/>
      <c r="L11" s="33"/>
      <c r="M11" s="33"/>
      <c r="N11" s="32"/>
      <c r="O11" s="32"/>
      <c r="P11" s="33"/>
      <c r="Q11" s="33"/>
      <c r="R11" s="33"/>
      <c r="S11" s="33"/>
      <c r="T11" s="32"/>
      <c r="U11" s="32"/>
      <c r="V11" s="33"/>
      <c r="W11" s="33"/>
      <c r="X11" s="33"/>
      <c r="Y11" s="33"/>
      <c r="Z11" s="32"/>
      <c r="AA11" s="32"/>
      <c r="AB11" s="33"/>
      <c r="AC11" s="33"/>
      <c r="AD11" s="33"/>
      <c r="AE11" s="33"/>
      <c r="AF11" s="32"/>
      <c r="AG11" s="32"/>
      <c r="AH11" s="33"/>
      <c r="AI11" s="33"/>
      <c r="AJ11" s="33"/>
      <c r="AK11" s="33"/>
      <c r="AL11" s="32"/>
      <c r="AM11" s="32"/>
      <c r="AN11" s="33"/>
      <c r="AO11" s="33"/>
      <c r="AP11" s="33"/>
      <c r="AQ11" s="33"/>
      <c r="AR11" s="32"/>
      <c r="AS11" s="32"/>
      <c r="AT11" s="33"/>
      <c r="AU11" s="33"/>
      <c r="AV11" s="33"/>
      <c r="AW11" s="33"/>
      <c r="AX11" s="32"/>
      <c r="AY11" s="32"/>
      <c r="AZ11" s="33"/>
      <c r="BA11" s="33"/>
      <c r="BB11" s="33"/>
      <c r="BC11" s="33"/>
      <c r="BD11" s="32"/>
      <c r="BE11" s="32"/>
      <c r="BF11" s="33"/>
      <c r="BG11" s="33"/>
      <c r="BH11" s="33"/>
      <c r="BI11" s="33"/>
      <c r="BJ11" s="32"/>
      <c r="BK11" s="32"/>
      <c r="BL11" s="33"/>
      <c r="BM11" s="33"/>
      <c r="BN11" s="33"/>
      <c r="BO11" s="33"/>
      <c r="BP11" s="32"/>
      <c r="BQ11" s="32"/>
      <c r="BR11" s="33"/>
      <c r="BS11" s="33"/>
      <c r="BT11" s="33"/>
      <c r="BU11" s="33"/>
      <c r="BV11" s="32"/>
      <c r="BW11" s="32"/>
      <c r="BX11" s="33"/>
      <c r="BY11" s="33"/>
      <c r="BZ11" s="33"/>
      <c r="CA11" s="33"/>
      <c r="CB11" s="32"/>
      <c r="CC11" s="32"/>
      <c r="CD11" s="33"/>
      <c r="CE11" s="33"/>
      <c r="CF11" s="33"/>
      <c r="CG11" s="33"/>
      <c r="CH11" s="32"/>
      <c r="CI11" s="32"/>
      <c r="CJ11" s="33"/>
      <c r="CK11" s="33"/>
      <c r="CL11" s="33"/>
      <c r="CM11" s="33"/>
      <c r="CN11" s="32"/>
      <c r="CO11" s="32"/>
      <c r="CP11" s="33"/>
      <c r="CQ11" s="33"/>
      <c r="CR11" s="33"/>
      <c r="CS11" s="33"/>
      <c r="CT11" s="32"/>
      <c r="CU11" s="32"/>
      <c r="CV11" s="33"/>
      <c r="CW11" s="33"/>
      <c r="CX11" s="33"/>
      <c r="CY11" s="33"/>
      <c r="CZ11" s="32"/>
      <c r="DA11" s="32"/>
      <c r="DB11" s="33"/>
      <c r="DC11" s="33"/>
      <c r="DD11" s="33"/>
      <c r="DE11" s="33"/>
      <c r="DF11" s="32">
        <v>61</v>
      </c>
      <c r="DG11" s="32">
        <v>33</v>
      </c>
      <c r="DH11" s="33">
        <v>29</v>
      </c>
      <c r="DI11" s="33">
        <v>6</v>
      </c>
      <c r="DJ11" s="33">
        <v>45</v>
      </c>
      <c r="DK11" s="33">
        <v>13</v>
      </c>
      <c r="DL11" s="86">
        <v>44.343891402714931</v>
      </c>
      <c r="DM11" s="86">
        <v>36.363636363636367</v>
      </c>
      <c r="DN11" s="86">
        <v>13.333333333333334</v>
      </c>
      <c r="DO11" s="86">
        <v>2.2222222222222219</v>
      </c>
      <c r="DP11" s="86">
        <v>36.363636363636367</v>
      </c>
      <c r="DQ11" s="86">
        <v>0</v>
      </c>
      <c r="DR11" s="100">
        <v>43.636363636363626</v>
      </c>
      <c r="DS11" s="100">
        <v>16.981132075471699</v>
      </c>
      <c r="DT11" s="100">
        <v>5.5555555555555554</v>
      </c>
      <c r="DU11" s="100">
        <v>0</v>
      </c>
      <c r="DV11" s="100">
        <v>52</v>
      </c>
      <c r="DW11" s="100">
        <v>0</v>
      </c>
      <c r="DX11" s="100">
        <v>28.124999999999993</v>
      </c>
      <c r="DY11" s="100">
        <v>27.450980392156854</v>
      </c>
      <c r="DZ11" s="100">
        <v>20</v>
      </c>
      <c r="EA11" s="100">
        <v>0</v>
      </c>
      <c r="EB11" s="100">
        <v>39.285714285714285</v>
      </c>
      <c r="EC11" s="100">
        <v>7.5851851851851855</v>
      </c>
      <c r="ED11" s="100">
        <v>29.257641921397376</v>
      </c>
      <c r="EE11" s="100">
        <v>8.9285714285714253</v>
      </c>
      <c r="EF11" s="100">
        <v>15</v>
      </c>
      <c r="EG11" s="100">
        <v>0</v>
      </c>
      <c r="EH11" s="100">
        <v>43.75</v>
      </c>
      <c r="EI11" s="100">
        <v>3.8461538461538463</v>
      </c>
      <c r="EJ11" s="100">
        <v>29.515418502202646</v>
      </c>
      <c r="EK11" s="100">
        <v>14.814814814814817</v>
      </c>
      <c r="EL11" s="100">
        <v>8.8235294117647065</v>
      </c>
      <c r="EM11" s="100">
        <v>28.571428571428569</v>
      </c>
      <c r="EN11" s="100">
        <v>6.25</v>
      </c>
      <c r="EO11" s="100">
        <v>3.5714285714285712</v>
      </c>
      <c r="EP11" s="100">
        <v>38</v>
      </c>
      <c r="EQ11" s="100">
        <v>17</v>
      </c>
      <c r="ER11" s="100">
        <v>0</v>
      </c>
      <c r="ES11" s="100">
        <v>13</v>
      </c>
      <c r="ET11" s="100">
        <v>9</v>
      </c>
      <c r="EU11" s="100">
        <v>0</v>
      </c>
      <c r="EV11" s="100">
        <v>45.777777777777786</v>
      </c>
      <c r="EW11" s="100">
        <v>12.962962962962965</v>
      </c>
      <c r="EX11" s="100">
        <v>8.5714285714285712</v>
      </c>
      <c r="EY11" s="100">
        <v>10.869565217391303</v>
      </c>
      <c r="EZ11" s="100">
        <v>42.857142857142854</v>
      </c>
      <c r="FA11" s="100">
        <v>0</v>
      </c>
      <c r="FB11" s="100">
        <v>40.517241379310342</v>
      </c>
      <c r="FC11" s="100">
        <v>16</v>
      </c>
      <c r="FD11" s="100">
        <v>32.5</v>
      </c>
      <c r="FE11" s="100">
        <v>2.2727272727272725</v>
      </c>
      <c r="FF11" s="100">
        <v>78.125</v>
      </c>
      <c r="FG11" s="100">
        <v>10.638297872340425</v>
      </c>
      <c r="FH11" s="100">
        <v>56.086956521739125</v>
      </c>
      <c r="FI11" s="100">
        <v>28.571428571428569</v>
      </c>
      <c r="FJ11" s="100">
        <v>46.153846153846153</v>
      </c>
      <c r="FK11" s="100">
        <v>0</v>
      </c>
      <c r="FL11" s="100">
        <v>79.310344827586206</v>
      </c>
      <c r="FM11" s="100">
        <v>13.20754716981132</v>
      </c>
      <c r="FN11" s="100">
        <v>45.26315789473685</v>
      </c>
      <c r="FO11" s="100">
        <v>12.195121951219514</v>
      </c>
      <c r="FP11" s="100">
        <v>46.666666666666664</v>
      </c>
      <c r="FQ11" s="100">
        <v>0</v>
      </c>
      <c r="FR11" s="100">
        <v>76.923076923076934</v>
      </c>
      <c r="FS11" s="100">
        <v>19.642857142857142</v>
      </c>
      <c r="FT11" s="100">
        <v>49.275362318840585</v>
      </c>
      <c r="FU11" s="100">
        <v>37.500000000000007</v>
      </c>
      <c r="FV11" s="100">
        <v>23.076923076923077</v>
      </c>
      <c r="FW11" s="100">
        <v>0</v>
      </c>
      <c r="FX11" s="100">
        <v>74.193548387096769</v>
      </c>
      <c r="FY11" s="100">
        <v>3.7037037037037033</v>
      </c>
      <c r="FZ11">
        <v>48</v>
      </c>
      <c r="GA11">
        <v>10</v>
      </c>
      <c r="GB11">
        <v>32</v>
      </c>
      <c r="GC11">
        <v>4</v>
      </c>
      <c r="GD11">
        <v>68</v>
      </c>
      <c r="GE11">
        <v>38</v>
      </c>
      <c r="GF11" s="97">
        <v>41.346153846153847</v>
      </c>
      <c r="GG11" s="97">
        <v>13.461538461538462</v>
      </c>
      <c r="GH11" s="97">
        <v>27.27272727272727</v>
      </c>
      <c r="GI11" s="97">
        <v>11.764705882352937</v>
      </c>
      <c r="GJ11" s="97">
        <v>31.03448275862069</v>
      </c>
      <c r="GK11" s="97">
        <v>26.666666666666668</v>
      </c>
      <c r="GL11" s="97">
        <v>53.571428571428569</v>
      </c>
      <c r="GM11" s="97">
        <v>17.647058823529413</v>
      </c>
      <c r="GN11" s="97">
        <v>37.5</v>
      </c>
      <c r="GO11" s="97">
        <v>6.0606060606060597</v>
      </c>
      <c r="GP11" s="97">
        <v>76</v>
      </c>
      <c r="GQ11" s="97">
        <v>8.1632653061224492</v>
      </c>
      <c r="GR11" s="119">
        <v>52.307692307692314</v>
      </c>
      <c r="GS11" s="97">
        <v>20.512820512820515</v>
      </c>
      <c r="GT11" s="97">
        <v>36.111111111111107</v>
      </c>
      <c r="GU11" s="97">
        <v>12.5</v>
      </c>
      <c r="GV11">
        <v>72</v>
      </c>
      <c r="GW11" s="97">
        <v>0</v>
      </c>
      <c r="GX11" s="97">
        <v>72.043010752688176</v>
      </c>
      <c r="GY11" s="119">
        <v>26.190476190476193</v>
      </c>
      <c r="GZ11" s="97">
        <v>42.5</v>
      </c>
      <c r="HA11" s="97">
        <v>0</v>
      </c>
      <c r="HB11" s="97">
        <v>93.3333333333333</v>
      </c>
    </row>
    <row r="12" spans="1:211" x14ac:dyDescent="0.25">
      <c r="A12" s="110" t="s">
        <v>8</v>
      </c>
      <c r="B12" s="32"/>
      <c r="C12" s="32"/>
      <c r="D12" s="33"/>
      <c r="E12" s="33"/>
      <c r="F12" s="33"/>
      <c r="G12" s="33"/>
      <c r="H12" s="32"/>
      <c r="I12" s="32"/>
      <c r="J12" s="33"/>
      <c r="K12" s="33"/>
      <c r="L12" s="33"/>
      <c r="M12" s="33"/>
      <c r="N12" s="32"/>
      <c r="O12" s="32"/>
      <c r="P12" s="33"/>
      <c r="Q12" s="33"/>
      <c r="R12" s="33"/>
      <c r="S12" s="33"/>
      <c r="T12" s="32"/>
      <c r="U12" s="32"/>
      <c r="V12" s="33"/>
      <c r="W12" s="33"/>
      <c r="X12" s="33"/>
      <c r="Y12" s="33"/>
      <c r="Z12" s="32"/>
      <c r="AA12" s="32"/>
      <c r="AB12" s="33"/>
      <c r="AC12" s="33"/>
      <c r="AD12" s="33"/>
      <c r="AE12" s="33"/>
      <c r="AF12" s="32"/>
      <c r="AG12" s="32"/>
      <c r="AH12" s="33"/>
      <c r="AI12" s="33"/>
      <c r="AJ12" s="33"/>
      <c r="AK12" s="33"/>
      <c r="AL12" s="32"/>
      <c r="AM12" s="32"/>
      <c r="AN12" s="33"/>
      <c r="AO12" s="33"/>
      <c r="AP12" s="33"/>
      <c r="AQ12" s="33"/>
      <c r="AR12" s="32"/>
      <c r="AS12" s="32"/>
      <c r="AT12" s="33"/>
      <c r="AU12" s="33"/>
      <c r="AV12" s="33"/>
      <c r="AW12" s="33"/>
      <c r="AX12" s="32"/>
      <c r="AY12" s="32"/>
      <c r="AZ12" s="33"/>
      <c r="BA12" s="33"/>
      <c r="BB12" s="33"/>
      <c r="BC12" s="33"/>
      <c r="BD12" s="32"/>
      <c r="BE12" s="32"/>
      <c r="BF12" s="33"/>
      <c r="BG12" s="33"/>
      <c r="BH12" s="33"/>
      <c r="BI12" s="33"/>
      <c r="BJ12" s="32"/>
      <c r="BK12" s="32"/>
      <c r="BL12" s="33"/>
      <c r="BM12" s="33"/>
      <c r="BN12" s="33"/>
      <c r="BO12" s="33"/>
      <c r="BP12" s="32"/>
      <c r="BQ12" s="32"/>
      <c r="BR12" s="33"/>
      <c r="BS12" s="33"/>
      <c r="BT12" s="33"/>
      <c r="BU12" s="33"/>
      <c r="BV12" s="32"/>
      <c r="BW12" s="32"/>
      <c r="BX12" s="33"/>
      <c r="BY12" s="33"/>
      <c r="BZ12" s="33"/>
      <c r="CA12" s="33"/>
      <c r="CB12" s="32"/>
      <c r="CC12" s="32"/>
      <c r="CD12" s="33"/>
      <c r="CE12" s="33"/>
      <c r="CF12" s="33"/>
      <c r="CG12" s="33"/>
      <c r="CH12" s="32"/>
      <c r="CI12" s="32"/>
      <c r="CJ12" s="33"/>
      <c r="CK12" s="33"/>
      <c r="CL12" s="33"/>
      <c r="CM12" s="33"/>
      <c r="CN12" s="32"/>
      <c r="CO12" s="32"/>
      <c r="CP12" s="33"/>
      <c r="CQ12" s="33"/>
      <c r="CR12" s="33"/>
      <c r="CS12" s="33"/>
      <c r="CT12" s="32"/>
      <c r="CU12" s="32"/>
      <c r="CV12" s="33"/>
      <c r="CW12" s="33"/>
      <c r="CX12" s="33"/>
      <c r="CY12" s="33"/>
      <c r="CZ12" s="32"/>
      <c r="DA12" s="32"/>
      <c r="DB12" s="33"/>
      <c r="DC12" s="33"/>
      <c r="DD12" s="33"/>
      <c r="DE12" s="33"/>
      <c r="DF12" s="32">
        <v>53</v>
      </c>
      <c r="DG12" s="32">
        <v>83</v>
      </c>
      <c r="DH12" s="33">
        <v>57</v>
      </c>
      <c r="DI12" s="33">
        <v>35</v>
      </c>
      <c r="DJ12" s="33">
        <v>45</v>
      </c>
      <c r="DK12" s="33">
        <v>27</v>
      </c>
      <c r="DL12" s="86">
        <v>89.379839620642628</v>
      </c>
      <c r="DM12" s="86">
        <v>92.727272727272734</v>
      </c>
      <c r="DN12" s="86">
        <v>73.333333333333329</v>
      </c>
      <c r="DO12" s="86">
        <v>12.777777777777777</v>
      </c>
      <c r="DP12" s="86">
        <v>68.181818181818173</v>
      </c>
      <c r="DQ12" s="86">
        <v>18.981710331191298</v>
      </c>
      <c r="DR12" s="100">
        <v>95.454545454545453</v>
      </c>
      <c r="DS12" s="100">
        <v>96.226415094339629</v>
      </c>
      <c r="DT12" s="100">
        <v>83.333333333333343</v>
      </c>
      <c r="DU12" s="100">
        <v>79.718660968660956</v>
      </c>
      <c r="DV12" s="100">
        <v>84</v>
      </c>
      <c r="DW12" s="100">
        <v>79.310344827586206</v>
      </c>
      <c r="DX12" s="100">
        <v>100</v>
      </c>
      <c r="DY12" s="100">
        <v>100</v>
      </c>
      <c r="DZ12" s="100">
        <v>100</v>
      </c>
      <c r="EA12" s="100">
        <v>97.61904761904762</v>
      </c>
      <c r="EB12" s="100">
        <v>100</v>
      </c>
      <c r="EC12" s="100">
        <v>86.666666666666671</v>
      </c>
      <c r="ED12" s="100">
        <v>100</v>
      </c>
      <c r="EE12" s="100">
        <v>98.214285714285722</v>
      </c>
      <c r="EF12" s="100">
        <v>100</v>
      </c>
      <c r="EG12" s="100">
        <v>85.416666666666671</v>
      </c>
      <c r="EH12" s="100">
        <v>100</v>
      </c>
      <c r="EI12" s="100">
        <v>100</v>
      </c>
      <c r="EJ12" s="100">
        <v>100</v>
      </c>
      <c r="EK12" s="100">
        <v>100</v>
      </c>
      <c r="EL12" s="100">
        <v>100</v>
      </c>
      <c r="EM12" s="100">
        <v>100</v>
      </c>
      <c r="EN12" s="100">
        <v>100</v>
      </c>
      <c r="EO12" s="100">
        <v>26.785714285714285</v>
      </c>
      <c r="EP12" s="100">
        <v>100</v>
      </c>
      <c r="EQ12" s="100">
        <v>94</v>
      </c>
      <c r="ER12" s="100">
        <v>100</v>
      </c>
      <c r="ES12" s="100">
        <v>100</v>
      </c>
      <c r="ET12" s="100">
        <v>100</v>
      </c>
      <c r="EU12" s="100">
        <v>36</v>
      </c>
      <c r="EV12" s="100">
        <v>100</v>
      </c>
      <c r="EW12" s="100">
        <v>100</v>
      </c>
      <c r="EX12" s="100">
        <v>100</v>
      </c>
      <c r="EY12" s="100">
        <v>100</v>
      </c>
      <c r="EZ12" s="100">
        <v>100</v>
      </c>
      <c r="FA12" s="100">
        <v>26.984126984126984</v>
      </c>
      <c r="FB12" s="100">
        <v>100</v>
      </c>
      <c r="FC12" s="100">
        <v>92</v>
      </c>
      <c r="FD12" s="100">
        <v>95</v>
      </c>
      <c r="FE12" s="100">
        <v>88.63636363636364</v>
      </c>
      <c r="FF12" s="100">
        <v>100</v>
      </c>
      <c r="FG12" s="100">
        <v>0</v>
      </c>
      <c r="FH12" s="100">
        <v>100</v>
      </c>
      <c r="FI12" s="100">
        <v>96.428571428571416</v>
      </c>
      <c r="FJ12" s="100">
        <v>100</v>
      </c>
      <c r="FK12" s="100">
        <v>95.833333333333343</v>
      </c>
      <c r="FL12" s="100">
        <v>100</v>
      </c>
      <c r="FM12" s="100">
        <v>41.509433962264154</v>
      </c>
      <c r="FN12" s="100">
        <v>98.421052631578959</v>
      </c>
      <c r="FO12" s="100">
        <v>100</v>
      </c>
      <c r="FP12" s="100">
        <v>100</v>
      </c>
      <c r="FQ12" s="100">
        <v>30</v>
      </c>
      <c r="FR12" s="100">
        <v>100</v>
      </c>
      <c r="FS12" s="100">
        <v>33.928571428571431</v>
      </c>
      <c r="FT12" s="100">
        <v>100</v>
      </c>
      <c r="FU12" s="100">
        <v>95.833333333333343</v>
      </c>
      <c r="FV12" s="100">
        <v>100</v>
      </c>
      <c r="FW12" s="100">
        <v>93.939393939393952</v>
      </c>
      <c r="FX12" s="100">
        <v>100</v>
      </c>
      <c r="FY12" s="100">
        <v>48.148148148148145</v>
      </c>
      <c r="FZ12">
        <v>100</v>
      </c>
      <c r="GA12">
        <v>100</v>
      </c>
      <c r="GB12">
        <v>100</v>
      </c>
      <c r="GC12">
        <v>100</v>
      </c>
      <c r="GD12">
        <v>84</v>
      </c>
      <c r="GE12">
        <v>33</v>
      </c>
      <c r="GF12" s="97">
        <v>100</v>
      </c>
      <c r="GG12" s="97">
        <v>100</v>
      </c>
      <c r="GH12" s="97">
        <v>100</v>
      </c>
      <c r="GI12" s="97">
        <v>94.117647058823493</v>
      </c>
      <c r="GJ12" s="97">
        <v>100</v>
      </c>
      <c r="GK12" s="97">
        <v>44.444444444444443</v>
      </c>
      <c r="GL12" s="97">
        <v>97.959183673469369</v>
      </c>
      <c r="GM12" s="97">
        <v>100</v>
      </c>
      <c r="GN12" s="97">
        <v>100</v>
      </c>
      <c r="GO12" s="97">
        <v>69.696969696969703</v>
      </c>
      <c r="GP12" s="97">
        <v>96</v>
      </c>
      <c r="GQ12" s="97">
        <v>42.857142857142854</v>
      </c>
      <c r="GR12" s="97">
        <v>93.333333333333329</v>
      </c>
      <c r="GS12" s="97">
        <v>100</v>
      </c>
      <c r="GT12" s="97">
        <v>100</v>
      </c>
      <c r="GU12" s="97">
        <v>100</v>
      </c>
      <c r="GV12">
        <v>100</v>
      </c>
      <c r="GW12" s="97">
        <v>0</v>
      </c>
      <c r="GX12" s="97">
        <v>100</v>
      </c>
      <c r="GY12" s="97">
        <v>100</v>
      </c>
      <c r="GZ12" s="97">
        <v>97.5</v>
      </c>
      <c r="HA12" s="97">
        <v>79.999999999999972</v>
      </c>
      <c r="HB12" s="97">
        <v>100</v>
      </c>
    </row>
    <row r="13" spans="1:211" x14ac:dyDescent="0.25">
      <c r="A13" s="110" t="s">
        <v>7</v>
      </c>
      <c r="B13" s="32"/>
      <c r="C13" s="32"/>
      <c r="D13" s="33"/>
      <c r="E13" s="33"/>
      <c r="F13" s="33"/>
      <c r="G13" s="33"/>
      <c r="H13" s="32"/>
      <c r="I13" s="32"/>
      <c r="J13" s="33"/>
      <c r="K13" s="33"/>
      <c r="L13" s="33"/>
      <c r="M13" s="33"/>
      <c r="N13" s="32"/>
      <c r="O13" s="32"/>
      <c r="P13" s="33"/>
      <c r="Q13" s="33"/>
      <c r="R13" s="33"/>
      <c r="S13" s="33"/>
      <c r="T13" s="32"/>
      <c r="U13" s="32"/>
      <c r="V13" s="33"/>
      <c r="W13" s="33"/>
      <c r="X13" s="33"/>
      <c r="Y13" s="33"/>
      <c r="Z13" s="32"/>
      <c r="AA13" s="32"/>
      <c r="AB13" s="33"/>
      <c r="AC13" s="33"/>
      <c r="AD13" s="33"/>
      <c r="AE13" s="33"/>
      <c r="AF13" s="32"/>
      <c r="AG13" s="32"/>
      <c r="AH13" s="33"/>
      <c r="AI13" s="33"/>
      <c r="AJ13" s="33"/>
      <c r="AK13" s="33"/>
      <c r="AL13" s="32"/>
      <c r="AM13" s="32"/>
      <c r="AN13" s="33"/>
      <c r="AO13" s="33"/>
      <c r="AP13" s="33"/>
      <c r="AQ13" s="33"/>
      <c r="AR13" s="32"/>
      <c r="AS13" s="32"/>
      <c r="AT13" s="33"/>
      <c r="AU13" s="33"/>
      <c r="AV13" s="33"/>
      <c r="AW13" s="33"/>
      <c r="AX13" s="32"/>
      <c r="AY13" s="32"/>
      <c r="AZ13" s="33"/>
      <c r="BA13" s="33"/>
      <c r="BB13" s="33"/>
      <c r="BC13" s="33"/>
      <c r="BD13" s="32"/>
      <c r="BE13" s="32"/>
      <c r="BF13" s="33"/>
      <c r="BG13" s="33"/>
      <c r="BH13" s="33"/>
      <c r="BI13" s="33"/>
      <c r="BJ13" s="32"/>
      <c r="BK13" s="32"/>
      <c r="BL13" s="33"/>
      <c r="BM13" s="33"/>
      <c r="BN13" s="33"/>
      <c r="BO13" s="33"/>
      <c r="BP13" s="32"/>
      <c r="BQ13" s="32"/>
      <c r="BR13" s="33"/>
      <c r="BS13" s="33"/>
      <c r="BT13" s="33"/>
      <c r="BU13" s="33"/>
      <c r="BV13" s="32"/>
      <c r="BW13" s="32"/>
      <c r="BX13" s="33"/>
      <c r="BY13" s="33"/>
      <c r="BZ13" s="33"/>
      <c r="CA13" s="33"/>
      <c r="CB13" s="32"/>
      <c r="CC13" s="32"/>
      <c r="CD13" s="33"/>
      <c r="CE13" s="33"/>
      <c r="CF13" s="33"/>
      <c r="CG13" s="33"/>
      <c r="CH13" s="32"/>
      <c r="CI13" s="32"/>
      <c r="CJ13" s="33"/>
      <c r="CK13" s="33"/>
      <c r="CL13" s="33"/>
      <c r="CM13" s="33"/>
      <c r="CN13" s="32"/>
      <c r="CO13" s="32"/>
      <c r="CP13" s="33"/>
      <c r="CQ13" s="33"/>
      <c r="CR13" s="33"/>
      <c r="CS13" s="33"/>
      <c r="CT13" s="32"/>
      <c r="CU13" s="32"/>
      <c r="CV13" s="33"/>
      <c r="CW13" s="33"/>
      <c r="CX13" s="33"/>
      <c r="CY13" s="33"/>
      <c r="CZ13" s="32"/>
      <c r="DA13" s="32"/>
      <c r="DB13" s="33"/>
      <c r="DC13" s="33"/>
      <c r="DD13" s="33"/>
      <c r="DE13" s="33"/>
      <c r="DF13" s="32">
        <v>38</v>
      </c>
      <c r="DG13" s="32">
        <v>15</v>
      </c>
      <c r="DH13" s="33">
        <v>0</v>
      </c>
      <c r="DI13" s="33">
        <v>40</v>
      </c>
      <c r="DJ13" s="33">
        <v>36</v>
      </c>
      <c r="DK13" s="33" t="s">
        <v>36</v>
      </c>
      <c r="DL13" s="86">
        <v>67.836595053214523</v>
      </c>
      <c r="DM13" s="86">
        <v>51.136363636363633</v>
      </c>
      <c r="DN13" s="33" t="s">
        <v>38</v>
      </c>
      <c r="DO13" s="86">
        <v>21.728395061728392</v>
      </c>
      <c r="DP13" s="86">
        <v>86.363636363636346</v>
      </c>
      <c r="DQ13" s="87" t="s">
        <v>38</v>
      </c>
      <c r="DR13" s="100">
        <v>51.717171717171716</v>
      </c>
      <c r="DS13" s="101" t="s">
        <v>38</v>
      </c>
      <c r="DT13" s="101" t="s">
        <v>38</v>
      </c>
      <c r="DU13" s="100">
        <v>14.543269230769232</v>
      </c>
      <c r="DV13" s="100">
        <v>76</v>
      </c>
      <c r="DW13" s="101" t="s">
        <v>38</v>
      </c>
      <c r="DX13" s="100">
        <v>48.287172011661802</v>
      </c>
      <c r="DY13" s="100" t="s">
        <v>172</v>
      </c>
      <c r="DZ13" s="100" t="s">
        <v>172</v>
      </c>
      <c r="EA13" s="100">
        <v>0</v>
      </c>
      <c r="EB13" s="100">
        <v>73.142857142857139</v>
      </c>
      <c r="EC13" s="100" t="s">
        <v>172</v>
      </c>
      <c r="ED13" s="100">
        <v>27.947598253275107</v>
      </c>
      <c r="EE13" s="100">
        <v>5.3571428571428568</v>
      </c>
      <c r="EF13" s="100">
        <v>0</v>
      </c>
      <c r="EG13" s="100">
        <v>8.3333333333333321</v>
      </c>
      <c r="EH13" s="100">
        <v>53.125</v>
      </c>
      <c r="EI13" s="100">
        <v>0</v>
      </c>
      <c r="EJ13" s="100">
        <v>40.969162995594715</v>
      </c>
      <c r="EK13" s="100">
        <v>25.925925925925931</v>
      </c>
      <c r="EL13" s="100">
        <v>0</v>
      </c>
      <c r="EM13" s="100">
        <v>64.285714285714278</v>
      </c>
      <c r="EN13" s="100">
        <v>25</v>
      </c>
      <c r="EO13" s="100">
        <v>0</v>
      </c>
      <c r="EP13" s="100">
        <v>40</v>
      </c>
      <c r="EQ13" s="100">
        <v>6</v>
      </c>
      <c r="ER13" s="100">
        <v>5</v>
      </c>
      <c r="ES13" s="100">
        <v>36</v>
      </c>
      <c r="ET13" s="100">
        <v>47</v>
      </c>
      <c r="EU13" s="100">
        <v>0</v>
      </c>
      <c r="EV13" s="100">
        <v>41.333333333333336</v>
      </c>
      <c r="EW13" s="100">
        <v>7.4074074074074083</v>
      </c>
      <c r="EX13" s="100">
        <v>5.7142857142857144</v>
      </c>
      <c r="EY13" s="100">
        <v>36.95652173913043</v>
      </c>
      <c r="EZ13" s="100">
        <v>21.428571428571427</v>
      </c>
      <c r="FA13" s="100">
        <v>0</v>
      </c>
      <c r="FB13" s="100">
        <v>32.327586206896555</v>
      </c>
      <c r="FC13" s="100">
        <v>5.9999999999999991</v>
      </c>
      <c r="FD13" s="100">
        <v>30</v>
      </c>
      <c r="FE13" s="100">
        <v>13.636363636363638</v>
      </c>
      <c r="FF13" s="100">
        <v>68.75</v>
      </c>
      <c r="FG13" s="100">
        <v>0</v>
      </c>
      <c r="FH13" s="100">
        <v>30.869565217391298</v>
      </c>
      <c r="FI13" s="100">
        <v>7.1428571428571423</v>
      </c>
      <c r="FJ13" s="100">
        <v>12.820512820512819</v>
      </c>
      <c r="FK13" s="100">
        <v>8.3333333333333321</v>
      </c>
      <c r="FL13" s="100">
        <v>31.03448275862069</v>
      </c>
      <c r="FM13" s="100">
        <v>0</v>
      </c>
      <c r="FN13" s="100">
        <v>36.315789473684212</v>
      </c>
      <c r="FO13" s="100">
        <v>0</v>
      </c>
      <c r="FP13" s="100">
        <v>3.3333333333333335</v>
      </c>
      <c r="FQ13" s="100">
        <v>0</v>
      </c>
      <c r="FR13" s="100">
        <v>50</v>
      </c>
      <c r="FS13" s="100">
        <v>8.9285714285714288</v>
      </c>
      <c r="FT13" s="100">
        <v>43.478260869565219</v>
      </c>
      <c r="FU13" s="100">
        <v>4.166666666666667</v>
      </c>
      <c r="FV13" s="100">
        <v>0</v>
      </c>
      <c r="FW13" s="100">
        <v>0</v>
      </c>
      <c r="FX13" s="100">
        <v>48.387096774193552</v>
      </c>
      <c r="FY13" s="100">
        <v>0</v>
      </c>
      <c r="FZ13">
        <v>43</v>
      </c>
      <c r="GA13">
        <v>0</v>
      </c>
      <c r="GB13">
        <v>11</v>
      </c>
      <c r="GC13">
        <v>9</v>
      </c>
      <c r="GD13">
        <v>48</v>
      </c>
      <c r="GE13">
        <v>0</v>
      </c>
      <c r="GF13" s="97">
        <v>38.46153846153846</v>
      </c>
      <c r="GG13" s="97">
        <v>0</v>
      </c>
      <c r="GH13" s="97">
        <v>12.121212121212121</v>
      </c>
      <c r="GI13" s="97">
        <v>44.117647058823522</v>
      </c>
      <c r="GJ13" s="97">
        <v>20.689655172413794</v>
      </c>
      <c r="GK13" s="97">
        <v>0</v>
      </c>
      <c r="GL13" s="97">
        <v>32.142857142857139</v>
      </c>
      <c r="GM13" s="97">
        <v>3.9215686274509802</v>
      </c>
      <c r="GN13" s="97">
        <v>9.375</v>
      </c>
      <c r="GO13" s="97">
        <v>48.484848484848477</v>
      </c>
      <c r="GP13" s="97">
        <v>44</v>
      </c>
      <c r="GQ13" s="97">
        <v>0</v>
      </c>
      <c r="GR13" s="97">
        <v>37.435897435897431</v>
      </c>
      <c r="GS13" s="97">
        <v>0</v>
      </c>
      <c r="GT13" s="97">
        <v>11.111111111111111</v>
      </c>
      <c r="GU13" s="97">
        <v>12.5</v>
      </c>
      <c r="GV13">
        <v>32</v>
      </c>
      <c r="GW13" s="97">
        <v>0</v>
      </c>
      <c r="GX13" s="97">
        <v>28.494623655913976</v>
      </c>
      <c r="GY13" s="97">
        <v>0</v>
      </c>
      <c r="GZ13" s="97">
        <v>0</v>
      </c>
      <c r="HA13" s="97">
        <v>100</v>
      </c>
      <c r="HB13" s="97">
        <v>36.666666666666664</v>
      </c>
    </row>
    <row r="14" spans="1:211" x14ac:dyDescent="0.25">
      <c r="A14" s="110" t="s">
        <v>221</v>
      </c>
      <c r="B14" s="32"/>
      <c r="C14" s="32"/>
      <c r="D14" s="33"/>
      <c r="E14" s="33"/>
      <c r="F14" s="33"/>
      <c r="G14" s="33"/>
      <c r="H14" s="32"/>
      <c r="I14" s="32"/>
      <c r="J14" s="33"/>
      <c r="K14" s="33"/>
      <c r="L14" s="33"/>
      <c r="M14" s="33"/>
      <c r="N14" s="32"/>
      <c r="O14" s="32"/>
      <c r="P14" s="33"/>
      <c r="Q14" s="33"/>
      <c r="R14" s="33"/>
      <c r="S14" s="33"/>
      <c r="T14" s="32"/>
      <c r="U14" s="32"/>
      <c r="V14" s="33"/>
      <c r="W14" s="33"/>
      <c r="X14" s="33"/>
      <c r="Y14" s="33"/>
      <c r="Z14" s="32"/>
      <c r="AA14" s="32"/>
      <c r="AB14" s="33"/>
      <c r="AC14" s="33"/>
      <c r="AD14" s="33"/>
      <c r="AE14" s="33"/>
      <c r="AF14" s="32"/>
      <c r="AG14" s="32"/>
      <c r="AH14" s="33"/>
      <c r="AI14" s="33"/>
      <c r="AJ14" s="33"/>
      <c r="AK14" s="33"/>
      <c r="AL14" s="32"/>
      <c r="AM14" s="32"/>
      <c r="AN14" s="33"/>
      <c r="AO14" s="33"/>
      <c r="AP14" s="33"/>
      <c r="AQ14" s="33"/>
      <c r="AR14" s="32"/>
      <c r="AS14" s="32"/>
      <c r="AT14" s="33"/>
      <c r="AU14" s="33"/>
      <c r="AV14" s="33"/>
      <c r="AW14" s="33"/>
      <c r="AX14" s="32"/>
      <c r="AY14" s="32"/>
      <c r="AZ14" s="33"/>
      <c r="BA14" s="33"/>
      <c r="BB14" s="33"/>
      <c r="BC14" s="33"/>
      <c r="BD14" s="32"/>
      <c r="BE14" s="32"/>
      <c r="BF14" s="33"/>
      <c r="BG14" s="33"/>
      <c r="BH14" s="33"/>
      <c r="BI14" s="33"/>
      <c r="BJ14" s="32"/>
      <c r="BK14" s="32"/>
      <c r="BL14" s="33"/>
      <c r="BM14" s="33"/>
      <c r="BN14" s="33"/>
      <c r="BO14" s="33"/>
      <c r="BP14" s="32"/>
      <c r="BQ14" s="32"/>
      <c r="BR14" s="33"/>
      <c r="BS14" s="33"/>
      <c r="BT14" s="33"/>
      <c r="BU14" s="33"/>
      <c r="BV14" s="32"/>
      <c r="BW14" s="32"/>
      <c r="BX14" s="33"/>
      <c r="BY14" s="33"/>
      <c r="BZ14" s="33"/>
      <c r="CA14" s="33"/>
      <c r="CB14" s="32"/>
      <c r="CC14" s="32"/>
      <c r="CD14" s="33"/>
      <c r="CE14" s="33"/>
      <c r="CF14" s="33"/>
      <c r="CG14" s="33"/>
      <c r="CH14" s="32"/>
      <c r="CI14" s="32"/>
      <c r="CJ14" s="33"/>
      <c r="CK14" s="33"/>
      <c r="CL14" s="33"/>
      <c r="CM14" s="33"/>
      <c r="CN14" s="32"/>
      <c r="CO14" s="32"/>
      <c r="CP14" s="33"/>
      <c r="CQ14" s="33"/>
      <c r="CR14" s="33"/>
      <c r="CS14" s="33"/>
      <c r="CT14" s="32"/>
      <c r="CU14" s="32"/>
      <c r="CV14" s="33"/>
      <c r="CW14" s="33"/>
      <c r="CX14" s="33"/>
      <c r="CY14" s="33"/>
      <c r="CZ14" s="32"/>
      <c r="DA14" s="32"/>
      <c r="DB14" s="33"/>
      <c r="DC14" s="33"/>
      <c r="DD14" s="33"/>
      <c r="DE14" s="33"/>
      <c r="DF14" s="32">
        <v>29</v>
      </c>
      <c r="DG14" s="32">
        <v>6</v>
      </c>
      <c r="DH14" s="33">
        <v>43</v>
      </c>
      <c r="DI14" s="33">
        <v>6</v>
      </c>
      <c r="DJ14" s="33">
        <v>45</v>
      </c>
      <c r="DK14" s="33">
        <v>98</v>
      </c>
      <c r="DL14" s="86">
        <v>24.434389140271495</v>
      </c>
      <c r="DM14" s="86">
        <v>12.727272727272728</v>
      </c>
      <c r="DN14" s="86">
        <v>13.333333333333334</v>
      </c>
      <c r="DO14" s="86">
        <v>20.495867768595044</v>
      </c>
      <c r="DP14" s="86">
        <v>0</v>
      </c>
      <c r="DQ14" s="86">
        <v>80.672268907563023</v>
      </c>
      <c r="DR14" s="100">
        <v>37.272727272727273</v>
      </c>
      <c r="DS14" s="100">
        <v>3.7735849056603779</v>
      </c>
      <c r="DT14" s="100">
        <v>25</v>
      </c>
      <c r="DU14" s="100">
        <v>96.955128205128204</v>
      </c>
      <c r="DV14" s="100">
        <v>16</v>
      </c>
      <c r="DW14" s="100">
        <v>100</v>
      </c>
      <c r="DX14" s="100">
        <v>32.589285714285708</v>
      </c>
      <c r="DY14" s="100">
        <v>7.8431372549019605</v>
      </c>
      <c r="DZ14" s="100">
        <v>15</v>
      </c>
      <c r="EA14" s="100">
        <v>95.238095238095241</v>
      </c>
      <c r="EB14" s="100">
        <v>21.428571428571427</v>
      </c>
      <c r="EC14" s="100">
        <v>100</v>
      </c>
      <c r="ED14" s="100">
        <v>29.6943231441048</v>
      </c>
      <c r="EE14" s="100">
        <v>0</v>
      </c>
      <c r="EF14" s="100">
        <v>0</v>
      </c>
      <c r="EG14" s="100">
        <v>97.916666666666657</v>
      </c>
      <c r="EH14" s="100">
        <v>28.125</v>
      </c>
      <c r="EI14" s="100">
        <v>90.384615384615387</v>
      </c>
      <c r="EJ14" s="100">
        <v>44.493392070484589</v>
      </c>
      <c r="EK14" s="100">
        <v>3.7037037037037042</v>
      </c>
      <c r="EL14" s="100">
        <v>61.764705882352942</v>
      </c>
      <c r="EM14" s="100">
        <v>0</v>
      </c>
      <c r="EN14" s="100">
        <v>50</v>
      </c>
      <c r="EO14" s="100">
        <v>100</v>
      </c>
      <c r="EP14" s="100">
        <v>50</v>
      </c>
      <c r="EQ14" s="100">
        <v>13</v>
      </c>
      <c r="ER14" s="100">
        <v>26</v>
      </c>
      <c r="ES14" s="100">
        <v>4</v>
      </c>
      <c r="ET14" s="100">
        <v>47</v>
      </c>
      <c r="EU14" s="100">
        <v>100</v>
      </c>
      <c r="EV14" s="100">
        <v>44</v>
      </c>
      <c r="EW14" s="100">
        <v>14.814814814814817</v>
      </c>
      <c r="EX14" s="100">
        <v>11.428571428571429</v>
      </c>
      <c r="EY14" s="100">
        <v>4.3478260869565206</v>
      </c>
      <c r="EZ14" s="100">
        <v>25</v>
      </c>
      <c r="FA14" s="100">
        <v>100</v>
      </c>
      <c r="FB14" s="100">
        <v>51.293103448275865</v>
      </c>
      <c r="FC14" s="100">
        <v>18.000000000000004</v>
      </c>
      <c r="FD14" s="100">
        <v>17.5</v>
      </c>
      <c r="FE14" s="100">
        <v>54.545454545454554</v>
      </c>
      <c r="FF14" s="100">
        <v>56.25</v>
      </c>
      <c r="FG14" s="100">
        <v>100</v>
      </c>
      <c r="FH14" s="100">
        <v>67.826086956521721</v>
      </c>
      <c r="FI14" s="100">
        <v>23.214285714285712</v>
      </c>
      <c r="FJ14" s="100">
        <v>20.512820512820511</v>
      </c>
      <c r="FK14" s="100">
        <v>100</v>
      </c>
      <c r="FL14" s="100">
        <v>62.068965517241381</v>
      </c>
      <c r="FM14" s="100">
        <v>100</v>
      </c>
      <c r="FN14" s="100">
        <v>68.94736842105263</v>
      </c>
      <c r="FO14" s="100">
        <v>17.073170731707322</v>
      </c>
      <c r="FP14" s="100">
        <v>30</v>
      </c>
      <c r="FQ14" s="100">
        <v>100</v>
      </c>
      <c r="FR14" s="100">
        <v>80.769230769230774</v>
      </c>
      <c r="FS14" s="100">
        <v>98.214285714285708</v>
      </c>
      <c r="FT14" s="100">
        <v>56.521739130434781</v>
      </c>
      <c r="FU14" s="100">
        <v>72.916666666666671</v>
      </c>
      <c r="FV14" s="100">
        <v>41.025641025641022</v>
      </c>
      <c r="FW14" s="100">
        <v>36.363636363636367</v>
      </c>
      <c r="FX14" s="100">
        <v>64.516129032258064</v>
      </c>
      <c r="FY14" s="100">
        <v>98.148148148148152</v>
      </c>
      <c r="FZ14">
        <v>66</v>
      </c>
      <c r="GA14">
        <v>52</v>
      </c>
      <c r="GB14">
        <v>34</v>
      </c>
      <c r="GC14">
        <v>0</v>
      </c>
      <c r="GD14">
        <v>72</v>
      </c>
      <c r="GE14">
        <v>19</v>
      </c>
      <c r="GF14" s="97">
        <v>50.96153846153846</v>
      </c>
      <c r="GG14" s="97">
        <v>50</v>
      </c>
      <c r="GH14" s="97">
        <v>24.242424242424242</v>
      </c>
      <c r="GI14" s="97">
        <v>29.411764705882355</v>
      </c>
      <c r="GJ14" s="97">
        <v>79.310344827586206</v>
      </c>
      <c r="GK14" s="97">
        <v>31.111111111111111</v>
      </c>
      <c r="GL14" s="97">
        <v>42.346938775510203</v>
      </c>
      <c r="GM14" s="97">
        <v>43.137254901960787</v>
      </c>
      <c r="GN14" s="97">
        <v>9.375</v>
      </c>
      <c r="GO14" s="97">
        <v>0</v>
      </c>
      <c r="GP14" s="97">
        <v>44</v>
      </c>
      <c r="GQ14" s="97">
        <v>16.326530612244898</v>
      </c>
      <c r="GR14" s="97">
        <v>52.820512820512825</v>
      </c>
      <c r="GS14" s="97">
        <v>58.974358974358978</v>
      </c>
      <c r="GT14" s="97">
        <v>30.555555555555557</v>
      </c>
      <c r="GU14" s="97">
        <v>0</v>
      </c>
      <c r="GV14">
        <v>64</v>
      </c>
      <c r="GW14" s="97">
        <v>0</v>
      </c>
      <c r="GX14" s="97">
        <v>37.096774193548384</v>
      </c>
      <c r="GY14" s="97">
        <v>59.523809523809533</v>
      </c>
      <c r="GZ14" s="97">
        <v>15</v>
      </c>
      <c r="HA14" s="97">
        <v>15</v>
      </c>
      <c r="HB14" s="97">
        <v>10</v>
      </c>
    </row>
    <row r="15" spans="1:211" x14ac:dyDescent="0.25">
      <c r="A15" s="110" t="s">
        <v>212</v>
      </c>
      <c r="B15" s="32"/>
      <c r="C15" s="32"/>
      <c r="D15" s="33"/>
      <c r="E15" s="33"/>
      <c r="F15" s="33"/>
      <c r="G15" s="33"/>
      <c r="H15" s="32"/>
      <c r="I15" s="32"/>
      <c r="J15" s="33"/>
      <c r="K15" s="33"/>
      <c r="L15" s="33"/>
      <c r="M15" s="33"/>
      <c r="N15" s="32"/>
      <c r="O15" s="32"/>
      <c r="P15" s="33"/>
      <c r="Q15" s="33"/>
      <c r="R15" s="33"/>
      <c r="S15" s="33"/>
      <c r="T15" s="32"/>
      <c r="U15" s="32"/>
      <c r="V15" s="33"/>
      <c r="W15" s="33"/>
      <c r="X15" s="33"/>
      <c r="Y15" s="33"/>
      <c r="Z15" s="32"/>
      <c r="AA15" s="32"/>
      <c r="AB15" s="33"/>
      <c r="AC15" s="33"/>
      <c r="AD15" s="33"/>
      <c r="AE15" s="33"/>
      <c r="AF15" s="32"/>
      <c r="AG15" s="32"/>
      <c r="AH15" s="33"/>
      <c r="AI15" s="33"/>
      <c r="AJ15" s="33"/>
      <c r="AK15" s="33"/>
      <c r="AL15" s="32"/>
      <c r="AM15" s="32"/>
      <c r="AN15" s="33"/>
      <c r="AO15" s="33"/>
      <c r="AP15" s="33"/>
      <c r="AQ15" s="33"/>
      <c r="AR15" s="32"/>
      <c r="AS15" s="32"/>
      <c r="AT15" s="33"/>
      <c r="AU15" s="33"/>
      <c r="AV15" s="33"/>
      <c r="AW15" s="33"/>
      <c r="AX15" s="32"/>
      <c r="AY15" s="32"/>
      <c r="AZ15" s="33"/>
      <c r="BA15" s="33"/>
      <c r="BB15" s="33"/>
      <c r="BC15" s="33"/>
      <c r="BD15" s="32"/>
      <c r="BE15" s="32"/>
      <c r="BF15" s="33"/>
      <c r="BG15" s="33"/>
      <c r="BH15" s="33"/>
      <c r="BI15" s="33"/>
      <c r="BJ15" s="32"/>
      <c r="BK15" s="32"/>
      <c r="BL15" s="33"/>
      <c r="BM15" s="33"/>
      <c r="BN15" s="33"/>
      <c r="BO15" s="33"/>
      <c r="BP15" s="32"/>
      <c r="BQ15" s="32"/>
      <c r="BR15" s="33"/>
      <c r="BS15" s="33"/>
      <c r="BT15" s="33"/>
      <c r="BU15" s="33"/>
      <c r="BV15" s="32"/>
      <c r="BW15" s="32"/>
      <c r="BX15" s="33"/>
      <c r="BY15" s="33"/>
      <c r="BZ15" s="33"/>
      <c r="CA15" s="33"/>
      <c r="CB15" s="32"/>
      <c r="CC15" s="32"/>
      <c r="CD15" s="33"/>
      <c r="CE15" s="33"/>
      <c r="CF15" s="33"/>
      <c r="CG15" s="33"/>
      <c r="CH15" s="32"/>
      <c r="CI15" s="32"/>
      <c r="CJ15" s="33"/>
      <c r="CK15" s="33"/>
      <c r="CL15" s="33"/>
      <c r="CM15" s="33"/>
      <c r="CN15" s="32"/>
      <c r="CO15" s="32"/>
      <c r="CP15" s="33"/>
      <c r="CQ15" s="33"/>
      <c r="CR15" s="33"/>
      <c r="CS15" s="33"/>
      <c r="CT15" s="32"/>
      <c r="CU15" s="32"/>
      <c r="CV15" s="33"/>
      <c r="CW15" s="33"/>
      <c r="CX15" s="33"/>
      <c r="CY15" s="33"/>
      <c r="CZ15" s="32"/>
      <c r="DA15" s="32"/>
      <c r="DB15" s="33"/>
      <c r="DC15" s="33"/>
      <c r="DD15" s="33"/>
      <c r="DE15" s="33"/>
      <c r="DF15" s="32">
        <v>24</v>
      </c>
      <c r="DG15" s="32">
        <v>38</v>
      </c>
      <c r="DH15" s="33">
        <v>14</v>
      </c>
      <c r="DI15" s="33">
        <v>5</v>
      </c>
      <c r="DJ15" s="33">
        <v>0</v>
      </c>
      <c r="DK15" s="33">
        <v>0</v>
      </c>
      <c r="DL15" s="86">
        <v>18.552036199095024</v>
      </c>
      <c r="DM15" s="86">
        <v>20.000000000000004</v>
      </c>
      <c r="DN15" s="86">
        <v>0</v>
      </c>
      <c r="DO15" s="86">
        <v>3.3333333333333326</v>
      </c>
      <c r="DP15" s="86">
        <v>0</v>
      </c>
      <c r="DQ15" s="86">
        <v>0</v>
      </c>
      <c r="DR15" s="100">
        <v>9.0909090909090882</v>
      </c>
      <c r="DS15" s="100">
        <v>1.8867924528301889</v>
      </c>
      <c r="DT15" s="100">
        <v>13.888888888888889</v>
      </c>
      <c r="DU15" s="100">
        <v>8.6182336182336154</v>
      </c>
      <c r="DV15" s="100">
        <v>0</v>
      </c>
      <c r="DW15" s="100">
        <v>0</v>
      </c>
      <c r="DX15" s="100">
        <v>3.5714285714285712</v>
      </c>
      <c r="DY15" s="100">
        <v>11.76470588235294</v>
      </c>
      <c r="DZ15" s="100">
        <v>5</v>
      </c>
      <c r="EA15" s="100">
        <v>9.5238095238095219</v>
      </c>
      <c r="EB15" s="100">
        <v>0</v>
      </c>
      <c r="EC15" s="100">
        <v>13.333333333333334</v>
      </c>
      <c r="ED15" s="100">
        <v>6.1135371179039302</v>
      </c>
      <c r="EE15" s="100">
        <v>1.7857142857142856</v>
      </c>
      <c r="EF15" s="100">
        <v>0</v>
      </c>
      <c r="EG15" s="100">
        <v>8.3333333333333321</v>
      </c>
      <c r="EH15" s="100">
        <v>0</v>
      </c>
      <c r="EI15" s="100">
        <v>0</v>
      </c>
      <c r="EJ15" s="100">
        <v>28.193832599118945</v>
      </c>
      <c r="EK15" s="100">
        <v>18.518518518518519</v>
      </c>
      <c r="EL15" s="100">
        <v>17.647058823529413</v>
      </c>
      <c r="EM15" s="100">
        <v>23.80952380952381</v>
      </c>
      <c r="EN15" s="100">
        <v>0</v>
      </c>
      <c r="EO15" s="100">
        <v>0</v>
      </c>
      <c r="EP15" s="100">
        <v>28</v>
      </c>
      <c r="EQ15" s="100">
        <v>11</v>
      </c>
      <c r="ER15" s="100">
        <v>0</v>
      </c>
      <c r="ES15" s="100">
        <v>21</v>
      </c>
      <c r="ET15" s="100">
        <v>6</v>
      </c>
      <c r="EU15" s="100">
        <v>0</v>
      </c>
      <c r="EV15" s="100">
        <v>20</v>
      </c>
      <c r="EW15" s="100">
        <v>16.666666666666668</v>
      </c>
      <c r="EX15" s="100">
        <v>0</v>
      </c>
      <c r="EY15" s="100">
        <v>17.391304347826082</v>
      </c>
      <c r="EZ15" s="100">
        <v>0</v>
      </c>
      <c r="FA15" s="100">
        <v>0</v>
      </c>
      <c r="FB15" s="100">
        <v>17.672413793103448</v>
      </c>
      <c r="FC15" s="100">
        <v>11.999999999999998</v>
      </c>
      <c r="FD15" s="100">
        <v>0</v>
      </c>
      <c r="FE15" s="100">
        <v>2.2727272727272725</v>
      </c>
      <c r="FF15" s="100">
        <v>50</v>
      </c>
      <c r="FG15" s="100">
        <v>6.3829787234042552</v>
      </c>
      <c r="FH15" s="100">
        <v>13.043478260869565</v>
      </c>
      <c r="FI15" s="100">
        <v>14.285714285714285</v>
      </c>
      <c r="FJ15" s="100">
        <v>0</v>
      </c>
      <c r="FK15" s="100">
        <v>0</v>
      </c>
      <c r="FL15" s="100">
        <v>20.689655172413794</v>
      </c>
      <c r="FM15" s="100">
        <v>30.188679245283019</v>
      </c>
      <c r="FN15" s="100">
        <v>11.578947368421053</v>
      </c>
      <c r="FO15" s="100">
        <v>26.829268292682933</v>
      </c>
      <c r="FP15" s="100">
        <v>0</v>
      </c>
      <c r="FQ15" s="100">
        <v>9.9999999999999964</v>
      </c>
      <c r="FR15" s="100">
        <v>42.307692307692307</v>
      </c>
      <c r="FS15" s="100">
        <v>26.785714285714285</v>
      </c>
      <c r="FT15" s="100">
        <v>48.792270531400973</v>
      </c>
      <c r="FU15" s="100">
        <v>100</v>
      </c>
      <c r="FV15" s="100">
        <v>64.102564102564102</v>
      </c>
      <c r="FW15" s="100">
        <v>66.666666666666657</v>
      </c>
      <c r="FX15" s="100">
        <v>58.064516129032263</v>
      </c>
      <c r="FY15" s="100">
        <v>70.370370370370367</v>
      </c>
      <c r="FZ15">
        <v>6</v>
      </c>
      <c r="GA15">
        <v>8</v>
      </c>
      <c r="GB15">
        <v>11</v>
      </c>
      <c r="GC15">
        <v>0</v>
      </c>
      <c r="GD15">
        <v>16</v>
      </c>
      <c r="GE15">
        <v>3</v>
      </c>
      <c r="GF15" s="97">
        <v>15.384615384615385</v>
      </c>
      <c r="GG15" s="97">
        <v>15.384615384615385</v>
      </c>
      <c r="GH15" s="97">
        <v>6.0606060606060606</v>
      </c>
      <c r="GI15" s="97">
        <v>0</v>
      </c>
      <c r="GJ15" s="97">
        <v>17.241379310344829</v>
      </c>
      <c r="GK15" s="97">
        <v>8.8888888888888893</v>
      </c>
      <c r="GL15" s="97">
        <v>11.224489795918366</v>
      </c>
      <c r="GM15" s="97">
        <v>5.8823529411764701</v>
      </c>
      <c r="GN15" s="97">
        <v>0</v>
      </c>
      <c r="GO15" s="97">
        <v>0</v>
      </c>
      <c r="GP15" s="97">
        <v>0</v>
      </c>
      <c r="GQ15" s="97">
        <v>0</v>
      </c>
      <c r="GR15" s="97">
        <v>13.846153846153845</v>
      </c>
      <c r="GS15" s="97">
        <v>2.5641025641025643</v>
      </c>
      <c r="GT15" s="97">
        <v>5.5555555555555554</v>
      </c>
      <c r="GU15" s="97">
        <v>0</v>
      </c>
      <c r="GV15" s="58">
        <v>0</v>
      </c>
      <c r="GW15" s="97">
        <v>12.903225806451612</v>
      </c>
      <c r="GX15" s="97">
        <v>13.978494623655912</v>
      </c>
      <c r="GY15" s="97">
        <v>11.904761904761905</v>
      </c>
      <c r="GZ15" s="97">
        <v>0</v>
      </c>
      <c r="HA15" s="97">
        <v>0</v>
      </c>
      <c r="HB15" s="97">
        <v>0</v>
      </c>
      <c r="HC15" s="58"/>
    </row>
    <row r="16" spans="1:211" x14ac:dyDescent="0.25">
      <c r="A16" s="110" t="s">
        <v>213</v>
      </c>
      <c r="B16" s="32"/>
      <c r="C16" s="32"/>
      <c r="D16" s="33"/>
      <c r="E16" s="33"/>
      <c r="F16" s="33"/>
      <c r="G16" s="33"/>
      <c r="H16" s="32"/>
      <c r="I16" s="32"/>
      <c r="J16" s="33"/>
      <c r="K16" s="33"/>
      <c r="L16" s="33"/>
      <c r="M16" s="33"/>
      <c r="N16" s="32"/>
      <c r="O16" s="32"/>
      <c r="P16" s="33"/>
      <c r="Q16" s="33"/>
      <c r="R16" s="33"/>
      <c r="S16" s="33"/>
      <c r="T16" s="32"/>
      <c r="U16" s="32"/>
      <c r="V16" s="33"/>
      <c r="W16" s="33"/>
      <c r="X16" s="33"/>
      <c r="Y16" s="33"/>
      <c r="Z16" s="32"/>
      <c r="AA16" s="32"/>
      <c r="AB16" s="33"/>
      <c r="AC16" s="33"/>
      <c r="AD16" s="33"/>
      <c r="AE16" s="33"/>
      <c r="AF16" s="32"/>
      <c r="AG16" s="32"/>
      <c r="AH16" s="33"/>
      <c r="AI16" s="33"/>
      <c r="AJ16" s="33"/>
      <c r="AK16" s="33"/>
      <c r="AL16" s="32"/>
      <c r="AM16" s="32"/>
      <c r="AN16" s="33"/>
      <c r="AO16" s="33"/>
      <c r="AP16" s="33"/>
      <c r="AQ16" s="33"/>
      <c r="AR16" s="32"/>
      <c r="AS16" s="32"/>
      <c r="AT16" s="33"/>
      <c r="AU16" s="33"/>
      <c r="AV16" s="33"/>
      <c r="AW16" s="33"/>
      <c r="AX16" s="32"/>
      <c r="AY16" s="32"/>
      <c r="AZ16" s="33"/>
      <c r="BA16" s="33"/>
      <c r="BB16" s="33"/>
      <c r="BC16" s="33"/>
      <c r="BD16" s="32"/>
      <c r="BE16" s="32"/>
      <c r="BF16" s="33"/>
      <c r="BG16" s="33"/>
      <c r="BH16" s="33"/>
      <c r="BI16" s="33"/>
      <c r="BJ16" s="32"/>
      <c r="BK16" s="32"/>
      <c r="BL16" s="33"/>
      <c r="BM16" s="33"/>
      <c r="BN16" s="33"/>
      <c r="BO16" s="33"/>
      <c r="BP16" s="32"/>
      <c r="BQ16" s="32"/>
      <c r="BR16" s="33"/>
      <c r="BS16" s="33"/>
      <c r="BT16" s="33"/>
      <c r="BU16" s="33"/>
      <c r="BV16" s="32"/>
      <c r="BW16" s="32"/>
      <c r="BX16" s="33"/>
      <c r="BY16" s="33"/>
      <c r="BZ16" s="33"/>
      <c r="CA16" s="33"/>
      <c r="CB16" s="32"/>
      <c r="CC16" s="32"/>
      <c r="CD16" s="33"/>
      <c r="CE16" s="33"/>
      <c r="CF16" s="33"/>
      <c r="CG16" s="33"/>
      <c r="CH16" s="32"/>
      <c r="CI16" s="32"/>
      <c r="CJ16" s="33"/>
      <c r="CK16" s="33"/>
      <c r="CL16" s="33"/>
      <c r="CM16" s="33"/>
      <c r="CN16" s="32"/>
      <c r="CO16" s="32"/>
      <c r="CP16" s="33"/>
      <c r="CQ16" s="33"/>
      <c r="CR16" s="33"/>
      <c r="CS16" s="33"/>
      <c r="CT16" s="32"/>
      <c r="CU16" s="32"/>
      <c r="CV16" s="33"/>
      <c r="CW16" s="33"/>
      <c r="CX16" s="33"/>
      <c r="CY16" s="33"/>
      <c r="CZ16" s="32"/>
      <c r="DA16" s="32"/>
      <c r="DB16" s="33"/>
      <c r="DC16" s="33"/>
      <c r="DD16" s="33"/>
      <c r="DE16" s="33"/>
      <c r="DF16" s="32">
        <v>19</v>
      </c>
      <c r="DG16" s="32">
        <v>25</v>
      </c>
      <c r="DH16" s="33">
        <v>0</v>
      </c>
      <c r="DI16" s="33">
        <v>31</v>
      </c>
      <c r="DJ16" s="33">
        <v>45</v>
      </c>
      <c r="DK16" s="33">
        <v>17</v>
      </c>
      <c r="DL16" s="86">
        <v>26.244343891402718</v>
      </c>
      <c r="DM16" s="86">
        <v>36.363636363636367</v>
      </c>
      <c r="DN16" s="86">
        <v>0</v>
      </c>
      <c r="DO16" s="86">
        <v>1.1111111111111109</v>
      </c>
      <c r="DP16" s="86">
        <v>0</v>
      </c>
      <c r="DQ16" s="86">
        <v>0</v>
      </c>
      <c r="DR16" s="100">
        <v>18.636363636363637</v>
      </c>
      <c r="DS16" s="100">
        <v>26.415094339622648</v>
      </c>
      <c r="DT16" s="100">
        <v>0</v>
      </c>
      <c r="DU16" s="100">
        <v>5.1282051282051277</v>
      </c>
      <c r="DV16" s="100">
        <v>16</v>
      </c>
      <c r="DW16" s="100">
        <v>3.4482758620689653</v>
      </c>
      <c r="DX16" s="100">
        <v>8.9285714285714253</v>
      </c>
      <c r="DY16" s="100">
        <v>7.8431372549019605</v>
      </c>
      <c r="DZ16" s="100">
        <v>0</v>
      </c>
      <c r="EA16" s="100">
        <v>19.047619047619044</v>
      </c>
      <c r="EB16" s="100">
        <v>17.857142857142858</v>
      </c>
      <c r="EC16" s="100">
        <v>10</v>
      </c>
      <c r="ED16" s="100">
        <v>11.353711790393012</v>
      </c>
      <c r="EE16" s="100">
        <v>12.5</v>
      </c>
      <c r="EF16" s="100">
        <v>0</v>
      </c>
      <c r="EG16" s="100">
        <v>0</v>
      </c>
      <c r="EH16" s="100">
        <v>18.75</v>
      </c>
      <c r="EI16" s="100">
        <v>0</v>
      </c>
      <c r="EJ16" s="100">
        <v>27.753303964757709</v>
      </c>
      <c r="EK16" s="100">
        <v>24.074074074074076</v>
      </c>
      <c r="EL16" s="100">
        <v>23.52941176470588</v>
      </c>
      <c r="EM16" s="100">
        <v>26.190476190476186</v>
      </c>
      <c r="EN16" s="100">
        <v>0</v>
      </c>
      <c r="EO16" s="100">
        <v>3.5714285714285712</v>
      </c>
      <c r="EP16" s="100">
        <v>25</v>
      </c>
      <c r="EQ16" s="100">
        <v>13</v>
      </c>
      <c r="ER16" s="100">
        <v>0</v>
      </c>
      <c r="ES16" s="100">
        <v>28</v>
      </c>
      <c r="ET16" s="100">
        <v>0</v>
      </c>
      <c r="EU16" s="100">
        <v>0</v>
      </c>
      <c r="EV16" s="100">
        <v>11.555555555555554</v>
      </c>
      <c r="EW16" s="100">
        <v>16.666666666666668</v>
      </c>
      <c r="EX16" s="100">
        <v>0</v>
      </c>
      <c r="EY16" s="100">
        <v>23.913043478260867</v>
      </c>
      <c r="EZ16" s="100">
        <v>0</v>
      </c>
      <c r="FA16" s="100">
        <v>0</v>
      </c>
      <c r="FB16" s="100">
        <v>18.103448275862068</v>
      </c>
      <c r="FC16" s="100">
        <v>28.000000000000004</v>
      </c>
      <c r="FD16" s="100">
        <v>0</v>
      </c>
      <c r="FE16" s="100">
        <v>6.8181818181818192</v>
      </c>
      <c r="FF16" s="100">
        <v>9.375</v>
      </c>
      <c r="FG16" s="100">
        <v>14.893617021276595</v>
      </c>
      <c r="FH16" s="100">
        <v>16.95652173913043</v>
      </c>
      <c r="FI16" s="100">
        <v>21.428571428571427</v>
      </c>
      <c r="FJ16" s="100">
        <v>0</v>
      </c>
      <c r="FK16" s="100">
        <v>0</v>
      </c>
      <c r="FL16" s="100">
        <v>13.793103448275861</v>
      </c>
      <c r="FM16" s="100">
        <v>20.754716981132077</v>
      </c>
      <c r="FN16" s="100">
        <v>27.894736842105267</v>
      </c>
      <c r="FO16" s="100">
        <v>26.829268292682933</v>
      </c>
      <c r="FP16" s="100">
        <v>0</v>
      </c>
      <c r="FQ16" s="100">
        <v>0</v>
      </c>
      <c r="FR16" s="100">
        <v>26.923076923076923</v>
      </c>
      <c r="FS16" s="100">
        <v>32.142857142857146</v>
      </c>
      <c r="FT16" s="100">
        <v>50.724637681159415</v>
      </c>
      <c r="FU16" s="100">
        <v>25</v>
      </c>
      <c r="FV16" s="100">
        <v>28.205128205128212</v>
      </c>
      <c r="FW16" s="100">
        <v>33.333333333333329</v>
      </c>
      <c r="FX16" s="100">
        <v>67.741935483870961</v>
      </c>
      <c r="FY16" s="100">
        <v>11.111111111111111</v>
      </c>
      <c r="FZ16">
        <v>48</v>
      </c>
      <c r="GA16">
        <v>10</v>
      </c>
      <c r="GB16">
        <v>16</v>
      </c>
      <c r="GC16">
        <v>0</v>
      </c>
      <c r="GD16">
        <v>32</v>
      </c>
      <c r="GE16">
        <v>3</v>
      </c>
      <c r="GF16" s="97">
        <v>42.307692307692299</v>
      </c>
      <c r="GG16" s="97">
        <v>26.923076923076923</v>
      </c>
      <c r="GH16" s="97">
        <v>6.0606060606060606</v>
      </c>
      <c r="GI16" s="97">
        <v>8.8235294117647047</v>
      </c>
      <c r="GJ16" s="97">
        <v>24.137931034482758</v>
      </c>
      <c r="GK16" s="97">
        <v>6.666666666666667</v>
      </c>
      <c r="GL16" s="97">
        <v>24.489795918367342</v>
      </c>
      <c r="GM16" s="97">
        <v>7.8431372549019605</v>
      </c>
      <c r="GN16" s="97">
        <v>0</v>
      </c>
      <c r="GO16" s="97">
        <v>6.0606060606060597</v>
      </c>
      <c r="GP16" s="97">
        <v>32</v>
      </c>
      <c r="GQ16" s="97">
        <v>0</v>
      </c>
      <c r="GR16" s="97">
        <v>37.948717948717956</v>
      </c>
      <c r="GS16" s="97">
        <v>10.256410256410257</v>
      </c>
      <c r="GT16" s="97">
        <v>16.666666666666664</v>
      </c>
      <c r="GU16" s="97">
        <v>50</v>
      </c>
      <c r="GV16">
        <v>28.000000000000004</v>
      </c>
      <c r="GW16" s="97">
        <v>20.967741935483872</v>
      </c>
      <c r="GX16" s="97">
        <v>30.645161290322577</v>
      </c>
      <c r="GY16" s="97">
        <v>11.904761904761905</v>
      </c>
      <c r="GZ16" s="97">
        <v>17.5</v>
      </c>
      <c r="HA16" s="97">
        <v>15</v>
      </c>
      <c r="HB16" s="97">
        <v>6.666666666666667</v>
      </c>
    </row>
    <row r="17" spans="1:210" x14ac:dyDescent="0.25">
      <c r="A17" s="110" t="s">
        <v>48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>
        <v>13</v>
      </c>
      <c r="DG17" s="33" t="s">
        <v>36</v>
      </c>
      <c r="DH17" s="33">
        <v>50</v>
      </c>
      <c r="DI17" s="33">
        <v>20</v>
      </c>
      <c r="DJ17" s="33">
        <v>28</v>
      </c>
      <c r="DK17" s="33">
        <v>23</v>
      </c>
      <c r="DL17" s="86">
        <v>5.4298642533936654</v>
      </c>
      <c r="DM17" s="86">
        <v>0</v>
      </c>
      <c r="DN17" s="86">
        <v>0</v>
      </c>
      <c r="DO17" s="86">
        <v>3.8888888888888884</v>
      </c>
      <c r="DP17" s="86">
        <v>0</v>
      </c>
      <c r="DQ17" s="86">
        <v>94.908551655956501</v>
      </c>
      <c r="DR17" s="100">
        <v>7.2727272727272725</v>
      </c>
      <c r="DS17" s="100">
        <v>0</v>
      </c>
      <c r="DT17" s="100">
        <v>0</v>
      </c>
      <c r="DU17" s="100">
        <v>17.236467236467231</v>
      </c>
      <c r="DV17" s="100">
        <v>0</v>
      </c>
      <c r="DW17" s="100">
        <v>41.379310344827587</v>
      </c>
      <c r="DX17" s="100">
        <v>1.7857142857142856</v>
      </c>
      <c r="DY17" s="100">
        <v>0</v>
      </c>
      <c r="DZ17" s="100">
        <v>0</v>
      </c>
      <c r="EA17" s="100">
        <v>0</v>
      </c>
      <c r="EB17" s="100">
        <v>0</v>
      </c>
      <c r="EC17" s="100">
        <v>40</v>
      </c>
      <c r="ED17" s="100">
        <v>0</v>
      </c>
      <c r="EE17" s="100">
        <v>0</v>
      </c>
      <c r="EF17" s="100">
        <v>0</v>
      </c>
      <c r="EG17" s="100">
        <v>8.3333333333333321</v>
      </c>
      <c r="EH17" s="100">
        <v>0</v>
      </c>
      <c r="EI17" s="100">
        <v>46.153846153846153</v>
      </c>
      <c r="EJ17" s="100">
        <v>1.7621145374449341</v>
      </c>
      <c r="EK17" s="100">
        <v>0</v>
      </c>
      <c r="EL17" s="100">
        <v>0</v>
      </c>
      <c r="EM17" s="100">
        <v>0</v>
      </c>
      <c r="EN17" s="100">
        <v>0</v>
      </c>
      <c r="EO17" s="100">
        <v>35.714285714285715</v>
      </c>
      <c r="EP17" s="100">
        <v>2</v>
      </c>
      <c r="EQ17" s="100">
        <v>0</v>
      </c>
      <c r="ER17" s="100">
        <v>0</v>
      </c>
      <c r="ES17" s="100">
        <v>0</v>
      </c>
      <c r="ET17" s="100">
        <v>0</v>
      </c>
      <c r="EU17" s="100">
        <v>56</v>
      </c>
      <c r="EV17" s="100">
        <v>3.1111111111111116</v>
      </c>
      <c r="EW17" s="100">
        <v>0</v>
      </c>
      <c r="EX17" s="100">
        <v>8.5714285714285712</v>
      </c>
      <c r="EY17" s="100">
        <v>0</v>
      </c>
      <c r="EZ17" s="100">
        <v>28.571428571428569</v>
      </c>
      <c r="FA17" s="100">
        <v>25.396825396825395</v>
      </c>
      <c r="FB17" s="100">
        <v>0</v>
      </c>
      <c r="FC17" s="100">
        <v>0</v>
      </c>
      <c r="FD17" s="100">
        <v>0</v>
      </c>
      <c r="FE17" s="100">
        <v>9.0909090909090899</v>
      </c>
      <c r="FF17" s="100">
        <v>12.5</v>
      </c>
      <c r="FG17" s="100">
        <v>25.531914893617021</v>
      </c>
      <c r="FH17" s="100">
        <v>13.913043478260869</v>
      </c>
      <c r="FI17" s="100">
        <v>0</v>
      </c>
      <c r="FJ17" s="100">
        <v>10.256410256410255</v>
      </c>
      <c r="FK17" s="100">
        <v>8.3333333333333321</v>
      </c>
      <c r="FL17" s="100">
        <v>41.379310344827587</v>
      </c>
      <c r="FM17" s="100">
        <v>15.09433962264151</v>
      </c>
      <c r="FN17" s="100">
        <v>3.6842105263157907</v>
      </c>
      <c r="FO17" s="100">
        <v>0</v>
      </c>
      <c r="FP17" s="100">
        <v>0</v>
      </c>
      <c r="FQ17" s="100">
        <v>19.999999999999993</v>
      </c>
      <c r="FR17" s="100">
        <v>0</v>
      </c>
      <c r="FS17" s="100">
        <v>44.642857142857146</v>
      </c>
      <c r="FT17" s="100">
        <v>9.1787439613526569</v>
      </c>
      <c r="FU17" s="100">
        <v>8.3333333333333339</v>
      </c>
      <c r="FV17" s="100">
        <v>33.333333333333329</v>
      </c>
      <c r="FW17" s="100">
        <v>36.363636363636367</v>
      </c>
      <c r="FX17" s="100">
        <v>38.70967741935484</v>
      </c>
      <c r="FY17" s="100">
        <v>14.814814814814813</v>
      </c>
      <c r="FZ17">
        <v>4</v>
      </c>
      <c r="GA17">
        <v>0</v>
      </c>
      <c r="GB17">
        <v>0</v>
      </c>
      <c r="GC17">
        <v>0</v>
      </c>
      <c r="GD17">
        <v>0</v>
      </c>
      <c r="GE17">
        <v>25</v>
      </c>
      <c r="GF17" s="97">
        <v>9.615384615384615</v>
      </c>
      <c r="GG17" s="97">
        <v>0</v>
      </c>
      <c r="GH17" s="97">
        <v>0</v>
      </c>
      <c r="GI17" s="97">
        <v>58.82352941176471</v>
      </c>
      <c r="GJ17" s="97">
        <v>0</v>
      </c>
      <c r="GK17" s="97">
        <v>53.333333333333336</v>
      </c>
      <c r="GL17" s="97">
        <v>4.0816326530612246</v>
      </c>
      <c r="GM17" s="97">
        <v>0</v>
      </c>
      <c r="GN17" s="97">
        <v>0</v>
      </c>
      <c r="GO17" s="97">
        <v>36.363636363636367</v>
      </c>
      <c r="GP17" s="97">
        <v>16</v>
      </c>
      <c r="GQ17" s="97">
        <v>65.306122448979593</v>
      </c>
      <c r="GR17" s="97">
        <v>9.2307692307692299</v>
      </c>
      <c r="GS17" s="97">
        <v>0</v>
      </c>
      <c r="GT17" s="97">
        <v>25</v>
      </c>
      <c r="GU17" s="97">
        <v>16.666666666666664</v>
      </c>
      <c r="GV17">
        <v>0</v>
      </c>
      <c r="GW17" s="97">
        <v>77.41935483870968</v>
      </c>
      <c r="GX17" s="97">
        <v>2.1505376344086025</v>
      </c>
      <c r="GY17" s="97">
        <v>0</v>
      </c>
      <c r="GZ17" s="97">
        <v>0</v>
      </c>
      <c r="HA17" s="97">
        <v>39.999999999999986</v>
      </c>
      <c r="HB17" s="97">
        <v>0</v>
      </c>
    </row>
    <row r="18" spans="1:210" x14ac:dyDescent="0.25">
      <c r="A18" s="110" t="s">
        <v>215</v>
      </c>
      <c r="B18" s="32"/>
      <c r="C18" s="32"/>
      <c r="D18" s="33"/>
      <c r="E18" s="33"/>
      <c r="F18" s="33"/>
      <c r="G18" s="33"/>
      <c r="H18" s="32"/>
      <c r="I18" s="32"/>
      <c r="J18" s="33"/>
      <c r="K18" s="33"/>
      <c r="L18" s="33"/>
      <c r="M18" s="33"/>
      <c r="N18" s="32"/>
      <c r="O18" s="32"/>
      <c r="P18" s="33"/>
      <c r="Q18" s="33"/>
      <c r="R18" s="33"/>
      <c r="S18" s="33"/>
      <c r="T18" s="32"/>
      <c r="U18" s="32"/>
      <c r="V18" s="33"/>
      <c r="W18" s="33"/>
      <c r="X18" s="33"/>
      <c r="Y18" s="33"/>
      <c r="Z18" s="32"/>
      <c r="AA18" s="32"/>
      <c r="AB18" s="33"/>
      <c r="AC18" s="33"/>
      <c r="AD18" s="33"/>
      <c r="AE18" s="33"/>
      <c r="AF18" s="32"/>
      <c r="AG18" s="32"/>
      <c r="AH18" s="33"/>
      <c r="AI18" s="33"/>
      <c r="AJ18" s="33"/>
      <c r="AK18" s="33"/>
      <c r="AL18" s="32"/>
      <c r="AM18" s="32"/>
      <c r="AN18" s="33"/>
      <c r="AO18" s="33"/>
      <c r="AP18" s="33"/>
      <c r="AQ18" s="33"/>
      <c r="AR18" s="32"/>
      <c r="AS18" s="32"/>
      <c r="AT18" s="33"/>
      <c r="AU18" s="33"/>
      <c r="AV18" s="33"/>
      <c r="AW18" s="33"/>
      <c r="AX18" s="32"/>
      <c r="AY18" s="32"/>
      <c r="AZ18" s="33"/>
      <c r="BA18" s="33"/>
      <c r="BB18" s="33"/>
      <c r="BC18" s="33"/>
      <c r="BD18" s="32"/>
      <c r="BE18" s="32"/>
      <c r="BF18" s="33"/>
      <c r="BG18" s="33"/>
      <c r="BH18" s="33"/>
      <c r="BI18" s="33"/>
      <c r="BJ18" s="32"/>
      <c r="BK18" s="32"/>
      <c r="BL18" s="33"/>
      <c r="BM18" s="33"/>
      <c r="BN18" s="33"/>
      <c r="BO18" s="33"/>
      <c r="BP18" s="32"/>
      <c r="BQ18" s="32"/>
      <c r="BR18" s="33"/>
      <c r="BS18" s="33"/>
      <c r="BT18" s="33"/>
      <c r="BU18" s="33"/>
      <c r="BV18" s="32"/>
      <c r="BW18" s="32"/>
      <c r="BX18" s="33"/>
      <c r="BY18" s="33"/>
      <c r="BZ18" s="33"/>
      <c r="CA18" s="33"/>
      <c r="CB18" s="32"/>
      <c r="CC18" s="32"/>
      <c r="CD18" s="33"/>
      <c r="CE18" s="33"/>
      <c r="CF18" s="33"/>
      <c r="CG18" s="33"/>
      <c r="CH18" s="32"/>
      <c r="CI18" s="32"/>
      <c r="CJ18" s="33"/>
      <c r="CK18" s="33"/>
      <c r="CL18" s="33"/>
      <c r="CM18" s="33"/>
      <c r="CN18" s="32"/>
      <c r="CO18" s="32"/>
      <c r="CP18" s="33"/>
      <c r="CQ18" s="33"/>
      <c r="CR18" s="33"/>
      <c r="CS18" s="33"/>
      <c r="CT18" s="32"/>
      <c r="CU18" s="32"/>
      <c r="CV18" s="33"/>
      <c r="CW18" s="33"/>
      <c r="CX18" s="33"/>
      <c r="CY18" s="33"/>
      <c r="CZ18" s="32"/>
      <c r="DA18" s="32"/>
      <c r="DB18" s="33"/>
      <c r="DC18" s="33"/>
      <c r="DD18" s="33"/>
      <c r="DE18" s="33"/>
      <c r="DF18" s="32">
        <v>9</v>
      </c>
      <c r="DG18" s="32">
        <v>23</v>
      </c>
      <c r="DH18" s="33">
        <v>0</v>
      </c>
      <c r="DI18" s="33">
        <v>0</v>
      </c>
      <c r="DJ18" s="33">
        <v>0</v>
      </c>
      <c r="DK18" s="33">
        <v>0</v>
      </c>
      <c r="DL18" s="86">
        <v>4.0723981900452486</v>
      </c>
      <c r="DM18" s="86">
        <v>20.000000000000004</v>
      </c>
      <c r="DN18" s="86">
        <v>0</v>
      </c>
      <c r="DO18" s="86">
        <v>1.1111111111111109</v>
      </c>
      <c r="DP18" s="86">
        <v>0</v>
      </c>
      <c r="DQ18" s="86">
        <v>0</v>
      </c>
      <c r="DR18" s="100">
        <v>1.3636363636363633</v>
      </c>
      <c r="DS18" s="100">
        <v>11.320754716981133</v>
      </c>
      <c r="DT18" s="100">
        <v>0</v>
      </c>
      <c r="DU18" s="100">
        <v>0</v>
      </c>
      <c r="DV18" s="100">
        <v>0</v>
      </c>
      <c r="DW18" s="100">
        <v>0</v>
      </c>
      <c r="DX18" s="100">
        <v>1.7857142857142856</v>
      </c>
      <c r="DY18" s="100">
        <v>7.8431372549019605</v>
      </c>
      <c r="DZ18" s="100">
        <v>0</v>
      </c>
      <c r="EA18" s="100">
        <v>0</v>
      </c>
      <c r="EB18" s="100">
        <v>0</v>
      </c>
      <c r="EC18" s="100">
        <v>0</v>
      </c>
      <c r="ED18" s="100">
        <v>0.87336244541484709</v>
      </c>
      <c r="EE18" s="100">
        <v>8.9285714285714253</v>
      </c>
      <c r="EF18" s="100">
        <v>0</v>
      </c>
      <c r="EG18" s="100">
        <v>0</v>
      </c>
      <c r="EH18" s="100">
        <v>0</v>
      </c>
      <c r="EI18" s="100">
        <v>0</v>
      </c>
      <c r="EJ18" s="100">
        <v>14.096916299559473</v>
      </c>
      <c r="EK18" s="100">
        <v>12.962962962962965</v>
      </c>
      <c r="EL18" s="100">
        <v>11.76470588235294</v>
      </c>
      <c r="EM18" s="100">
        <v>19.047619047619044</v>
      </c>
      <c r="EN18" s="100">
        <v>0</v>
      </c>
      <c r="EO18" s="100">
        <v>0</v>
      </c>
      <c r="EP18" s="100">
        <v>16</v>
      </c>
      <c r="EQ18" s="100">
        <v>11</v>
      </c>
      <c r="ER18" s="100">
        <v>0</v>
      </c>
      <c r="ES18" s="100">
        <v>17</v>
      </c>
      <c r="ET18" s="100">
        <v>0</v>
      </c>
      <c r="EU18" s="100">
        <v>0</v>
      </c>
      <c r="EV18" s="100">
        <v>8</v>
      </c>
      <c r="EW18" s="100">
        <v>3.7037037037037042</v>
      </c>
      <c r="EX18" s="100">
        <v>0</v>
      </c>
      <c r="EY18" s="100">
        <v>15.217391304347828</v>
      </c>
      <c r="EZ18" s="100">
        <v>0</v>
      </c>
      <c r="FA18" s="100">
        <v>0</v>
      </c>
      <c r="FB18" s="100">
        <v>7.3275862068965507</v>
      </c>
      <c r="FC18" s="100">
        <v>11.999999999999998</v>
      </c>
      <c r="FD18" s="100">
        <v>0</v>
      </c>
      <c r="FE18" s="100">
        <v>0</v>
      </c>
      <c r="FF18" s="100">
        <v>0</v>
      </c>
      <c r="FG18" s="100">
        <v>0</v>
      </c>
      <c r="FH18" s="100">
        <v>1.7391304347826086</v>
      </c>
      <c r="FI18" s="100">
        <v>10.714285714285714</v>
      </c>
      <c r="FJ18" s="100">
        <v>0</v>
      </c>
      <c r="FK18" s="100">
        <v>0</v>
      </c>
      <c r="FL18" s="100">
        <v>6.8965517241379306</v>
      </c>
      <c r="FM18" s="100">
        <v>11.320754716981133</v>
      </c>
      <c r="FN18" s="100">
        <v>6.3157894736842106</v>
      </c>
      <c r="FO18" s="100">
        <v>7.3170731707317085</v>
      </c>
      <c r="FP18" s="100">
        <v>0</v>
      </c>
      <c r="FQ18" s="100">
        <v>0</v>
      </c>
      <c r="FR18" s="100">
        <v>19.230769230769234</v>
      </c>
      <c r="FS18" s="100">
        <v>7.1428571428571423</v>
      </c>
      <c r="FT18" s="100">
        <v>72.463768115942031</v>
      </c>
      <c r="FU18" s="100">
        <v>87.5</v>
      </c>
      <c r="FV18" s="100">
        <v>25.641025641025639</v>
      </c>
      <c r="FW18" s="100">
        <v>60.606060606060609</v>
      </c>
      <c r="FX18" s="100">
        <v>58.064516129032263</v>
      </c>
      <c r="FY18" s="100">
        <v>100</v>
      </c>
      <c r="FZ18">
        <v>71</v>
      </c>
      <c r="GA18">
        <v>67</v>
      </c>
      <c r="GB18">
        <v>24</v>
      </c>
      <c r="GC18">
        <v>70</v>
      </c>
      <c r="GD18">
        <v>64</v>
      </c>
      <c r="GE18">
        <v>100</v>
      </c>
      <c r="GF18" s="97">
        <v>67.788461538461547</v>
      </c>
      <c r="GG18" s="97">
        <v>42.307692307692307</v>
      </c>
      <c r="GH18" s="97">
        <v>15.151515151515152</v>
      </c>
      <c r="GI18" s="97">
        <v>70.588235294117638</v>
      </c>
      <c r="GJ18" s="97">
        <v>34.482758620689658</v>
      </c>
      <c r="GK18" s="97">
        <v>100</v>
      </c>
      <c r="GL18" s="97">
        <v>48.979591836734684</v>
      </c>
      <c r="GM18" s="97">
        <v>31.372549019607842</v>
      </c>
      <c r="GN18" s="97">
        <v>6.25</v>
      </c>
      <c r="GO18" s="97">
        <v>63.636363636363633</v>
      </c>
      <c r="GP18" s="97">
        <v>60</v>
      </c>
      <c r="GQ18" s="97">
        <v>100</v>
      </c>
      <c r="GR18" s="97">
        <v>53.333333333333336</v>
      </c>
      <c r="GS18" s="97">
        <v>56.410256410256423</v>
      </c>
      <c r="GT18" s="97">
        <v>25</v>
      </c>
      <c r="GU18" s="97">
        <v>79.166666666666657</v>
      </c>
      <c r="GV18">
        <v>36</v>
      </c>
      <c r="GW18" s="97">
        <v>100</v>
      </c>
      <c r="GX18" s="97">
        <v>39.784946236559144</v>
      </c>
      <c r="GY18" s="97">
        <v>45.238095238095241</v>
      </c>
      <c r="GZ18" s="97">
        <v>7.5</v>
      </c>
      <c r="HA18" s="97">
        <v>94.999999999999972</v>
      </c>
      <c r="HB18" s="97">
        <v>6.666666666666667</v>
      </c>
    </row>
    <row r="19" spans="1:210" x14ac:dyDescent="0.25">
      <c r="A19" s="110" t="s">
        <v>217</v>
      </c>
      <c r="B19" s="32"/>
      <c r="C19" s="32"/>
      <c r="D19" s="33"/>
      <c r="E19" s="33"/>
      <c r="F19" s="33"/>
      <c r="G19" s="33"/>
      <c r="H19" s="32"/>
      <c r="I19" s="32"/>
      <c r="J19" s="33"/>
      <c r="K19" s="33"/>
      <c r="L19" s="33"/>
      <c r="M19" s="33"/>
      <c r="N19" s="32"/>
      <c r="O19" s="32"/>
      <c r="P19" s="33"/>
      <c r="Q19" s="33"/>
      <c r="R19" s="33"/>
      <c r="S19" s="33"/>
      <c r="T19" s="32"/>
      <c r="U19" s="32"/>
      <c r="V19" s="33"/>
      <c r="W19" s="33"/>
      <c r="X19" s="33"/>
      <c r="Y19" s="33"/>
      <c r="Z19" s="32"/>
      <c r="AA19" s="32"/>
      <c r="AB19" s="33"/>
      <c r="AC19" s="33"/>
      <c r="AD19" s="33"/>
      <c r="AE19" s="33"/>
      <c r="AF19" s="32"/>
      <c r="AG19" s="32"/>
      <c r="AH19" s="33"/>
      <c r="AI19" s="33"/>
      <c r="AJ19" s="33"/>
      <c r="AK19" s="33"/>
      <c r="AL19" s="32"/>
      <c r="AM19" s="32"/>
      <c r="AN19" s="33"/>
      <c r="AO19" s="33"/>
      <c r="AP19" s="33"/>
      <c r="AQ19" s="33"/>
      <c r="AR19" s="32"/>
      <c r="AS19" s="32"/>
      <c r="AT19" s="33"/>
      <c r="AU19" s="33"/>
      <c r="AV19" s="33"/>
      <c r="AW19" s="33"/>
      <c r="AX19" s="32"/>
      <c r="AY19" s="32"/>
      <c r="AZ19" s="33"/>
      <c r="BA19" s="33"/>
      <c r="BB19" s="33"/>
      <c r="BC19" s="33"/>
      <c r="BD19" s="32"/>
      <c r="BE19" s="32"/>
      <c r="BF19" s="33"/>
      <c r="BG19" s="33"/>
      <c r="BH19" s="33"/>
      <c r="BI19" s="33"/>
      <c r="BJ19" s="32"/>
      <c r="BK19" s="32"/>
      <c r="BL19" s="33"/>
      <c r="BM19" s="33"/>
      <c r="BN19" s="33"/>
      <c r="BO19" s="33"/>
      <c r="BP19" s="32"/>
      <c r="BQ19" s="32"/>
      <c r="BR19" s="33"/>
      <c r="BS19" s="33"/>
      <c r="BT19" s="33"/>
      <c r="BU19" s="33"/>
      <c r="BV19" s="32"/>
      <c r="BW19" s="32"/>
      <c r="BX19" s="33"/>
      <c r="BY19" s="33"/>
      <c r="BZ19" s="33"/>
      <c r="CA19" s="33"/>
      <c r="CB19" s="32"/>
      <c r="CC19" s="32"/>
      <c r="CD19" s="33"/>
      <c r="CE19" s="33"/>
      <c r="CF19" s="33"/>
      <c r="CG19" s="33"/>
      <c r="CH19" s="32"/>
      <c r="CI19" s="32"/>
      <c r="CJ19" s="33"/>
      <c r="CK19" s="33"/>
      <c r="CL19" s="33"/>
      <c r="CM19" s="33"/>
      <c r="CN19" s="32"/>
      <c r="CO19" s="32"/>
      <c r="CP19" s="33"/>
      <c r="CQ19" s="33"/>
      <c r="CR19" s="33"/>
      <c r="CS19" s="33"/>
      <c r="CT19" s="32"/>
      <c r="CU19" s="32"/>
      <c r="CV19" s="33"/>
      <c r="CW19" s="33"/>
      <c r="CX19" s="33"/>
      <c r="CY19" s="33"/>
      <c r="CZ19" s="32"/>
      <c r="DA19" s="32"/>
      <c r="DB19" s="33"/>
      <c r="DC19" s="33"/>
      <c r="DD19" s="33"/>
      <c r="DE19" s="33"/>
      <c r="DF19" s="32">
        <v>7</v>
      </c>
      <c r="DG19" s="32">
        <v>8</v>
      </c>
      <c r="DH19" s="33">
        <v>0</v>
      </c>
      <c r="DI19" s="33">
        <v>40</v>
      </c>
      <c r="DJ19" s="33">
        <v>27</v>
      </c>
      <c r="DK19" s="33" t="s">
        <v>36</v>
      </c>
      <c r="DL19" s="86">
        <v>6.0242576775817298</v>
      </c>
      <c r="DM19" s="86">
        <v>9.0909090909090917</v>
      </c>
      <c r="DN19" s="86">
        <v>0</v>
      </c>
      <c r="DO19" s="86">
        <v>0</v>
      </c>
      <c r="DP19" s="86">
        <v>40.909090909090907</v>
      </c>
      <c r="DQ19" s="87" t="s">
        <v>38</v>
      </c>
      <c r="DR19" s="100">
        <v>4.4893378226711551</v>
      </c>
      <c r="DS19" s="100">
        <v>0</v>
      </c>
      <c r="DT19" s="100">
        <v>0</v>
      </c>
      <c r="DU19" s="100">
        <v>4.3091168091168077</v>
      </c>
      <c r="DV19" s="100">
        <v>16</v>
      </c>
      <c r="DW19" s="101" t="s">
        <v>38</v>
      </c>
      <c r="DX19" s="100">
        <v>0</v>
      </c>
      <c r="DY19" s="100">
        <v>7.8431372549019605</v>
      </c>
      <c r="DZ19" s="100">
        <v>2.5</v>
      </c>
      <c r="EA19" s="100">
        <v>76.190476190476176</v>
      </c>
      <c r="EB19" s="100">
        <v>10.714285714285714</v>
      </c>
      <c r="EC19" s="100" t="s">
        <v>172</v>
      </c>
      <c r="ED19" s="100">
        <v>2.6200873362445409</v>
      </c>
      <c r="EE19" s="100">
        <v>0</v>
      </c>
      <c r="EF19" s="100">
        <v>0</v>
      </c>
      <c r="EG19" s="100">
        <v>0</v>
      </c>
      <c r="EH19" s="100">
        <v>18.75</v>
      </c>
      <c r="EI19" s="100">
        <v>0</v>
      </c>
      <c r="EJ19" s="100">
        <v>10.572687224669604</v>
      </c>
      <c r="EK19" s="100">
        <v>3.7037037037037042</v>
      </c>
      <c r="EL19" s="100">
        <v>8.8235294117647065</v>
      </c>
      <c r="EM19" s="100">
        <v>0</v>
      </c>
      <c r="EN19" s="100">
        <v>12.5</v>
      </c>
      <c r="EO19" s="100">
        <v>0</v>
      </c>
      <c r="EP19" s="100">
        <v>12</v>
      </c>
      <c r="EQ19" s="100">
        <v>6</v>
      </c>
      <c r="ER19" s="100">
        <v>0</v>
      </c>
      <c r="ES19" s="100">
        <v>0</v>
      </c>
      <c r="ET19" s="100">
        <v>28</v>
      </c>
      <c r="EU19" s="100">
        <v>0</v>
      </c>
      <c r="EV19" s="100">
        <v>8.8888888888888893</v>
      </c>
      <c r="EW19" s="100">
        <v>0</v>
      </c>
      <c r="EX19" s="100">
        <v>0</v>
      </c>
      <c r="EY19" s="100">
        <v>0</v>
      </c>
      <c r="EZ19" s="100">
        <v>25</v>
      </c>
      <c r="FA19" s="100">
        <v>0</v>
      </c>
      <c r="FB19" s="100">
        <v>9.0517241379310338</v>
      </c>
      <c r="FC19" s="100">
        <v>0</v>
      </c>
      <c r="FD19" s="100">
        <v>0</v>
      </c>
      <c r="FE19" s="100">
        <v>6.8181818181818192</v>
      </c>
      <c r="FF19" s="100">
        <v>46.875</v>
      </c>
      <c r="FG19" s="100">
        <v>0</v>
      </c>
      <c r="FH19" s="100">
        <v>10.434782608695652</v>
      </c>
      <c r="FI19" s="100">
        <v>3.5714285714285712</v>
      </c>
      <c r="FJ19" s="100">
        <v>28.205128205128212</v>
      </c>
      <c r="FK19" s="100">
        <v>6.25</v>
      </c>
      <c r="FL19" s="100">
        <v>58.620689655172406</v>
      </c>
      <c r="FM19" s="100">
        <v>15.09433962264151</v>
      </c>
      <c r="FN19" s="100">
        <v>19.473684210526322</v>
      </c>
      <c r="FO19" s="100">
        <v>2.4390243902439028</v>
      </c>
      <c r="FP19" s="100">
        <v>30</v>
      </c>
      <c r="FQ19" s="100">
        <v>9.9999999999999964</v>
      </c>
      <c r="FR19" s="100">
        <v>53.846153846153847</v>
      </c>
      <c r="FS19" s="100">
        <v>19.642857142857142</v>
      </c>
      <c r="FT19" s="100">
        <v>19.806763285024154</v>
      </c>
      <c r="FU19" s="100">
        <v>29.166666666666668</v>
      </c>
      <c r="FV19" s="100">
        <v>30.76923076923077</v>
      </c>
      <c r="FW19" s="100">
        <v>24.242424242424239</v>
      </c>
      <c r="FX19" s="100">
        <v>58.064516129032263</v>
      </c>
      <c r="FY19" s="100">
        <v>0</v>
      </c>
      <c r="FZ19">
        <v>19</v>
      </c>
      <c r="GA19">
        <v>31</v>
      </c>
      <c r="GB19">
        <v>42</v>
      </c>
      <c r="GC19">
        <v>0</v>
      </c>
      <c r="GD19">
        <v>40</v>
      </c>
      <c r="GE19">
        <v>0</v>
      </c>
      <c r="GF19" s="97">
        <v>32.211538461538467</v>
      </c>
      <c r="GG19" s="97">
        <v>11.538461538461538</v>
      </c>
      <c r="GH19" s="97">
        <v>18.181818181818183</v>
      </c>
      <c r="GI19" s="97">
        <v>11.764705882352937</v>
      </c>
      <c r="GJ19" s="97">
        <v>65.517241379310349</v>
      </c>
      <c r="GK19" s="97">
        <v>0</v>
      </c>
      <c r="GL19" s="97">
        <v>32.142857142857139</v>
      </c>
      <c r="GM19" s="97">
        <v>21.568627450980394</v>
      </c>
      <c r="GN19" s="97">
        <v>6.25</v>
      </c>
      <c r="GO19" s="97">
        <v>12.121212121212119</v>
      </c>
      <c r="GP19" s="97">
        <v>32</v>
      </c>
      <c r="GQ19" s="97">
        <v>0</v>
      </c>
      <c r="GR19" s="97">
        <v>25.641025641025646</v>
      </c>
      <c r="GS19" s="97">
        <v>23.07692307692308</v>
      </c>
      <c r="GT19" s="97">
        <v>11.111111111111111</v>
      </c>
      <c r="GU19" s="97">
        <v>25</v>
      </c>
      <c r="GV19">
        <v>64</v>
      </c>
      <c r="GW19" s="97">
        <v>0</v>
      </c>
      <c r="GX19" s="97">
        <v>22.043010752688168</v>
      </c>
      <c r="GY19" s="97">
        <v>26.190476190476193</v>
      </c>
      <c r="GZ19" s="97">
        <v>20</v>
      </c>
      <c r="HA19" s="97">
        <v>0</v>
      </c>
      <c r="HB19" s="97">
        <v>66.666666666666657</v>
      </c>
    </row>
    <row r="20" spans="1:210" x14ac:dyDescent="0.25">
      <c r="A20" s="110" t="s">
        <v>216</v>
      </c>
      <c r="B20" s="32"/>
      <c r="C20" s="32"/>
      <c r="D20" s="33"/>
      <c r="E20" s="33"/>
      <c r="F20" s="33"/>
      <c r="G20" s="33"/>
      <c r="H20" s="32"/>
      <c r="I20" s="32"/>
      <c r="J20" s="33"/>
      <c r="K20" s="33"/>
      <c r="L20" s="33"/>
      <c r="M20" s="33"/>
      <c r="N20" s="32"/>
      <c r="O20" s="32"/>
      <c r="P20" s="33"/>
      <c r="Q20" s="33"/>
      <c r="R20" s="33"/>
      <c r="S20" s="33"/>
      <c r="T20" s="32"/>
      <c r="U20" s="32"/>
      <c r="V20" s="33"/>
      <c r="W20" s="33"/>
      <c r="X20" s="33"/>
      <c r="Y20" s="33"/>
      <c r="Z20" s="32"/>
      <c r="AA20" s="32"/>
      <c r="AB20" s="33"/>
      <c r="AC20" s="33"/>
      <c r="AD20" s="33"/>
      <c r="AE20" s="33"/>
      <c r="AF20" s="32"/>
      <c r="AG20" s="32"/>
      <c r="AH20" s="33"/>
      <c r="AI20" s="33"/>
      <c r="AJ20" s="33"/>
      <c r="AK20" s="33"/>
      <c r="AL20" s="32"/>
      <c r="AM20" s="32"/>
      <c r="AN20" s="33"/>
      <c r="AO20" s="33"/>
      <c r="AP20" s="33"/>
      <c r="AQ20" s="33"/>
      <c r="AR20" s="32"/>
      <c r="AS20" s="32"/>
      <c r="AT20" s="33"/>
      <c r="AU20" s="33"/>
      <c r="AV20" s="33"/>
      <c r="AW20" s="33"/>
      <c r="AX20" s="32"/>
      <c r="AY20" s="32"/>
      <c r="AZ20" s="33"/>
      <c r="BA20" s="33"/>
      <c r="BB20" s="33"/>
      <c r="BC20" s="33"/>
      <c r="BD20" s="32"/>
      <c r="BE20" s="32"/>
      <c r="BF20" s="33"/>
      <c r="BG20" s="33"/>
      <c r="BH20" s="33"/>
      <c r="BI20" s="33"/>
      <c r="BJ20" s="32"/>
      <c r="BK20" s="32"/>
      <c r="BL20" s="33"/>
      <c r="BM20" s="33"/>
      <c r="BN20" s="33"/>
      <c r="BO20" s="33"/>
      <c r="BP20" s="32"/>
      <c r="BQ20" s="32"/>
      <c r="BR20" s="33"/>
      <c r="BS20" s="33"/>
      <c r="BT20" s="33"/>
      <c r="BU20" s="33"/>
      <c r="BV20" s="32"/>
      <c r="BW20" s="32"/>
      <c r="BX20" s="33"/>
      <c r="BY20" s="33"/>
      <c r="BZ20" s="33"/>
      <c r="CA20" s="33"/>
      <c r="CB20" s="32"/>
      <c r="CC20" s="32"/>
      <c r="CD20" s="33"/>
      <c r="CE20" s="33"/>
      <c r="CF20" s="33"/>
      <c r="CG20" s="33"/>
      <c r="CH20" s="32"/>
      <c r="CI20" s="32"/>
      <c r="CJ20" s="33"/>
      <c r="CK20" s="33"/>
      <c r="CL20" s="33"/>
      <c r="CM20" s="33"/>
      <c r="CN20" s="32"/>
      <c r="CO20" s="32"/>
      <c r="CP20" s="33"/>
      <c r="CQ20" s="33"/>
      <c r="CR20" s="33"/>
      <c r="CS20" s="33"/>
      <c r="CT20" s="32"/>
      <c r="CU20" s="32"/>
      <c r="CV20" s="33"/>
      <c r="CW20" s="33"/>
      <c r="CX20" s="33"/>
      <c r="CY20" s="33"/>
      <c r="CZ20" s="32"/>
      <c r="DA20" s="32"/>
      <c r="DB20" s="33"/>
      <c r="DC20" s="33"/>
      <c r="DD20" s="33"/>
      <c r="DE20" s="33"/>
      <c r="DF20" s="32">
        <v>7</v>
      </c>
      <c r="DG20" s="32">
        <v>6</v>
      </c>
      <c r="DH20" s="33">
        <v>0</v>
      </c>
      <c r="DI20" s="33">
        <v>40</v>
      </c>
      <c r="DJ20" s="33">
        <v>9</v>
      </c>
      <c r="DK20" s="33" t="s">
        <v>36</v>
      </c>
      <c r="DL20" s="86">
        <v>6.0242576775817298</v>
      </c>
      <c r="DM20" s="86">
        <v>9.0909090909090917</v>
      </c>
      <c r="DN20" s="86">
        <v>0</v>
      </c>
      <c r="DO20" s="86">
        <v>0</v>
      </c>
      <c r="DP20" s="86">
        <v>40.909090909090907</v>
      </c>
      <c r="DQ20" s="87" t="s">
        <v>38</v>
      </c>
      <c r="DR20" s="100">
        <v>4.4893378226711551</v>
      </c>
      <c r="DS20" s="100">
        <v>0</v>
      </c>
      <c r="DT20" s="100">
        <v>0</v>
      </c>
      <c r="DU20" s="100">
        <v>8.6182336182336154</v>
      </c>
      <c r="DV20" s="100">
        <v>16</v>
      </c>
      <c r="DW20" s="101" t="s">
        <v>38</v>
      </c>
      <c r="DX20" s="100">
        <v>0</v>
      </c>
      <c r="DY20" s="100">
        <v>9.8039215686274481</v>
      </c>
      <c r="DZ20" s="100">
        <v>0</v>
      </c>
      <c r="EA20" s="100">
        <v>76.190476190476176</v>
      </c>
      <c r="EB20" s="100">
        <v>10.714285714285714</v>
      </c>
      <c r="EC20" s="100" t="s">
        <v>172</v>
      </c>
      <c r="ED20" s="100">
        <v>1.7467248908296942</v>
      </c>
      <c r="EE20" s="100">
        <v>0</v>
      </c>
      <c r="EF20" s="100">
        <v>0</v>
      </c>
      <c r="EG20" s="100">
        <v>0</v>
      </c>
      <c r="EH20" s="100">
        <v>12.5</v>
      </c>
      <c r="EI20" s="100">
        <v>0</v>
      </c>
      <c r="EJ20" s="100">
        <v>8.8105726872246688</v>
      </c>
      <c r="EK20" s="100">
        <v>3.7037037037037042</v>
      </c>
      <c r="EL20" s="100">
        <v>8.8235294117647065</v>
      </c>
      <c r="EM20" s="100">
        <v>0</v>
      </c>
      <c r="EN20" s="100">
        <v>15.625</v>
      </c>
      <c r="EO20" s="100">
        <v>0</v>
      </c>
      <c r="EP20" s="100">
        <v>10</v>
      </c>
      <c r="EQ20" s="100">
        <v>4</v>
      </c>
      <c r="ER20" s="100">
        <v>0</v>
      </c>
      <c r="ES20" s="100">
        <v>0</v>
      </c>
      <c r="ET20" s="100">
        <v>22</v>
      </c>
      <c r="EU20" s="100">
        <v>0</v>
      </c>
      <c r="EV20" s="100">
        <v>8</v>
      </c>
      <c r="EW20" s="100">
        <v>0</v>
      </c>
      <c r="EX20" s="100">
        <v>0</v>
      </c>
      <c r="EY20" s="100">
        <v>0</v>
      </c>
      <c r="EZ20" s="100">
        <v>28.571428571428569</v>
      </c>
      <c r="FA20" s="100">
        <v>0</v>
      </c>
      <c r="FB20" s="100">
        <v>6.4655172413793105</v>
      </c>
      <c r="FC20" s="100">
        <v>0</v>
      </c>
      <c r="FD20" s="100">
        <v>2.5</v>
      </c>
      <c r="FE20" s="100">
        <v>0</v>
      </c>
      <c r="FF20" s="100">
        <v>50</v>
      </c>
      <c r="FG20" s="100">
        <v>0</v>
      </c>
      <c r="FH20" s="100">
        <v>9.1304347826086953</v>
      </c>
      <c r="FI20" s="100">
        <v>0</v>
      </c>
      <c r="FJ20" s="100">
        <v>23.076923076923077</v>
      </c>
      <c r="FK20" s="100">
        <v>0</v>
      </c>
      <c r="FL20" s="100">
        <v>48.275862068965516</v>
      </c>
      <c r="FM20" s="100">
        <v>9.433962264150944</v>
      </c>
      <c r="FN20" s="100">
        <v>18.421052631578952</v>
      </c>
      <c r="FO20" s="100">
        <v>0</v>
      </c>
      <c r="FP20" s="100">
        <v>26.666666666666668</v>
      </c>
      <c r="FQ20" s="100">
        <v>0</v>
      </c>
      <c r="FR20" s="100">
        <v>73.076923076923066</v>
      </c>
      <c r="FS20" s="100">
        <v>19.642857142857142</v>
      </c>
      <c r="FT20" s="100">
        <v>31.884057971014496</v>
      </c>
      <c r="FU20" s="100">
        <v>37.500000000000007</v>
      </c>
      <c r="FV20" s="100">
        <v>46.153846153846153</v>
      </c>
      <c r="FW20" s="100">
        <v>12.121212121212119</v>
      </c>
      <c r="FX20" s="100">
        <v>38.70967741935484</v>
      </c>
      <c r="FY20" s="100">
        <v>0</v>
      </c>
      <c r="FZ20">
        <v>40</v>
      </c>
      <c r="GA20">
        <v>8</v>
      </c>
      <c r="GB20">
        <v>37</v>
      </c>
      <c r="GC20">
        <v>7</v>
      </c>
      <c r="GD20">
        <v>28</v>
      </c>
      <c r="GE20">
        <v>0</v>
      </c>
      <c r="GF20" s="97">
        <v>30.76923076923077</v>
      </c>
      <c r="GG20" s="97">
        <v>9.615384615384615</v>
      </c>
      <c r="GH20" s="97">
        <v>27.27272727272727</v>
      </c>
      <c r="GI20" s="97">
        <v>11.764705882352937</v>
      </c>
      <c r="GJ20" s="97">
        <v>34.482758620689658</v>
      </c>
      <c r="GK20" s="97">
        <v>4.4444444444444446</v>
      </c>
      <c r="GL20" s="97">
        <v>48.979591836734684</v>
      </c>
      <c r="GM20" s="97">
        <v>7.8431372549019605</v>
      </c>
      <c r="GN20" s="97">
        <v>59.375</v>
      </c>
      <c r="GO20" s="97">
        <v>6.0606060606060597</v>
      </c>
      <c r="GP20" s="97">
        <v>64</v>
      </c>
      <c r="GQ20" s="97">
        <v>0</v>
      </c>
      <c r="GR20" s="97">
        <v>47.179487179487182</v>
      </c>
      <c r="GS20" s="97">
        <v>20.512820512820515</v>
      </c>
      <c r="GT20" s="97">
        <v>41.666666666666671</v>
      </c>
      <c r="GU20" s="97">
        <v>16.666666666666664</v>
      </c>
      <c r="GV20">
        <v>36</v>
      </c>
      <c r="GW20" s="97">
        <v>0</v>
      </c>
      <c r="GX20" s="97">
        <v>54.838709677419352</v>
      </c>
      <c r="GY20" s="97">
        <v>45.238095238095241</v>
      </c>
      <c r="GZ20" s="97">
        <v>32.5</v>
      </c>
      <c r="HA20" s="97">
        <v>0</v>
      </c>
      <c r="HB20" s="97">
        <v>43.333333333333336</v>
      </c>
    </row>
    <row r="21" spans="1:210" x14ac:dyDescent="0.25">
      <c r="A21" s="110" t="s">
        <v>224</v>
      </c>
      <c r="B21" s="32"/>
      <c r="C21" s="32"/>
      <c r="D21" s="33"/>
      <c r="E21" s="33"/>
      <c r="F21" s="33"/>
      <c r="G21" s="33"/>
      <c r="H21" s="32"/>
      <c r="I21" s="32"/>
      <c r="J21" s="33"/>
      <c r="K21" s="33"/>
      <c r="L21" s="33"/>
      <c r="M21" s="33"/>
      <c r="N21" s="32"/>
      <c r="O21" s="32"/>
      <c r="P21" s="33"/>
      <c r="Q21" s="33"/>
      <c r="R21" s="33"/>
      <c r="S21" s="33"/>
      <c r="T21" s="32"/>
      <c r="U21" s="32"/>
      <c r="V21" s="33"/>
      <c r="W21" s="33"/>
      <c r="X21" s="33"/>
      <c r="Y21" s="33"/>
      <c r="Z21" s="32"/>
      <c r="AA21" s="32"/>
      <c r="AB21" s="33"/>
      <c r="AC21" s="33"/>
      <c r="AD21" s="33"/>
      <c r="AE21" s="33"/>
      <c r="AF21" s="32"/>
      <c r="AG21" s="32"/>
      <c r="AH21" s="33"/>
      <c r="AI21" s="33"/>
      <c r="AJ21" s="33"/>
      <c r="AK21" s="33"/>
      <c r="AL21" s="32"/>
      <c r="AM21" s="32"/>
      <c r="AN21" s="33"/>
      <c r="AO21" s="33"/>
      <c r="AP21" s="33"/>
      <c r="AQ21" s="33"/>
      <c r="AR21" s="32"/>
      <c r="AS21" s="32"/>
      <c r="AT21" s="33"/>
      <c r="AU21" s="33"/>
      <c r="AV21" s="33"/>
      <c r="AW21" s="33"/>
      <c r="AX21" s="32"/>
      <c r="AY21" s="32"/>
      <c r="AZ21" s="33"/>
      <c r="BA21" s="33"/>
      <c r="BB21" s="33"/>
      <c r="BC21" s="33"/>
      <c r="BD21" s="32"/>
      <c r="BE21" s="32"/>
      <c r="BF21" s="33"/>
      <c r="BG21" s="33"/>
      <c r="BH21" s="33"/>
      <c r="BI21" s="33"/>
      <c r="BJ21" s="32"/>
      <c r="BK21" s="32"/>
      <c r="BL21" s="33"/>
      <c r="BM21" s="33"/>
      <c r="BN21" s="33"/>
      <c r="BO21" s="33"/>
      <c r="BP21" s="32"/>
      <c r="BQ21" s="32"/>
      <c r="BR21" s="33"/>
      <c r="BS21" s="33"/>
      <c r="BT21" s="33"/>
      <c r="BU21" s="33"/>
      <c r="BV21" s="32"/>
      <c r="BW21" s="32"/>
      <c r="BX21" s="33"/>
      <c r="BY21" s="33"/>
      <c r="BZ21" s="33"/>
      <c r="CA21" s="33"/>
      <c r="CB21" s="32"/>
      <c r="CC21" s="32"/>
      <c r="CD21" s="33"/>
      <c r="CE21" s="33"/>
      <c r="CF21" s="33"/>
      <c r="CG21" s="33"/>
      <c r="CH21" s="32"/>
      <c r="CI21" s="32"/>
      <c r="CJ21" s="33"/>
      <c r="CK21" s="33"/>
      <c r="CL21" s="33"/>
      <c r="CM21" s="33"/>
      <c r="CN21" s="32"/>
      <c r="CO21" s="32"/>
      <c r="CP21" s="33"/>
      <c r="CQ21" s="33"/>
      <c r="CR21" s="33"/>
      <c r="CS21" s="33"/>
      <c r="CT21" s="32"/>
      <c r="CU21" s="32"/>
      <c r="CV21" s="33"/>
      <c r="CW21" s="33"/>
      <c r="CX21" s="33"/>
      <c r="CY21" s="33"/>
      <c r="CZ21" s="32"/>
      <c r="DA21" s="32"/>
      <c r="DB21" s="33"/>
      <c r="DC21" s="33"/>
      <c r="DD21" s="33"/>
      <c r="DE21" s="33"/>
      <c r="DF21" s="32">
        <v>7</v>
      </c>
      <c r="DG21" s="32">
        <v>10</v>
      </c>
      <c r="DH21" s="33">
        <v>0</v>
      </c>
      <c r="DI21" s="33">
        <v>0</v>
      </c>
      <c r="DJ21" s="33">
        <v>9</v>
      </c>
      <c r="DK21" s="33">
        <v>0</v>
      </c>
      <c r="DL21" s="86">
        <v>2.2624434389140275</v>
      </c>
      <c r="DM21" s="86">
        <v>0</v>
      </c>
      <c r="DN21" s="86">
        <v>0</v>
      </c>
      <c r="DO21" s="86">
        <v>0</v>
      </c>
      <c r="DP21" s="86">
        <v>0</v>
      </c>
      <c r="DQ21" s="86">
        <v>0</v>
      </c>
      <c r="DR21" s="100">
        <v>86.363636363636346</v>
      </c>
      <c r="DS21" s="100">
        <v>83.018867924528323</v>
      </c>
      <c r="DT21" s="100">
        <v>66.666666666666657</v>
      </c>
      <c r="DU21" s="100">
        <v>100</v>
      </c>
      <c r="DV21" s="100">
        <v>72</v>
      </c>
      <c r="DW21" s="100">
        <v>0</v>
      </c>
      <c r="DX21" s="100">
        <v>86.797718225468842</v>
      </c>
      <c r="DY21" s="100">
        <v>94.117647058823522</v>
      </c>
      <c r="DZ21" s="100">
        <v>65</v>
      </c>
      <c r="EA21" s="100">
        <v>100</v>
      </c>
      <c r="EB21" s="100">
        <v>71</v>
      </c>
      <c r="EC21" s="100">
        <v>55.000000000000007</v>
      </c>
      <c r="ED21" s="100">
        <v>86.026200873362441</v>
      </c>
      <c r="EE21" s="100">
        <v>94.642857142857125</v>
      </c>
      <c r="EF21" s="100">
        <v>100</v>
      </c>
      <c r="EG21" s="100">
        <v>100</v>
      </c>
      <c r="EH21" s="100">
        <v>100</v>
      </c>
      <c r="EI21" s="100">
        <v>15.384615384615385</v>
      </c>
      <c r="EJ21" s="100">
        <v>91.629955947136565</v>
      </c>
      <c r="EK21" s="100">
        <v>100</v>
      </c>
      <c r="EL21" s="100">
        <v>91.17647058823529</v>
      </c>
      <c r="EM21" s="100">
        <v>97.619047619047606</v>
      </c>
      <c r="EN21" s="100">
        <v>90.625</v>
      </c>
      <c r="EO21" s="100">
        <v>0</v>
      </c>
      <c r="EP21" s="100">
        <v>96</v>
      </c>
      <c r="EQ21" s="100">
        <v>98</v>
      </c>
      <c r="ER21" s="100">
        <v>87</v>
      </c>
      <c r="ES21" s="100">
        <v>100</v>
      </c>
      <c r="ET21" s="100">
        <v>100</v>
      </c>
      <c r="EU21" s="100">
        <v>6</v>
      </c>
      <c r="EV21" s="100">
        <v>90.666666666666671</v>
      </c>
      <c r="EW21" s="100">
        <v>100</v>
      </c>
      <c r="EX21" s="100">
        <v>65.714285714285708</v>
      </c>
      <c r="EY21" s="100">
        <v>91.304347826086953</v>
      </c>
      <c r="EZ21" s="100">
        <v>53.571428571428569</v>
      </c>
      <c r="FA21" s="100">
        <v>80.952380952380949</v>
      </c>
      <c r="FB21" s="100">
        <v>92.672413793103459</v>
      </c>
      <c r="FC21" s="100">
        <v>100</v>
      </c>
      <c r="FD21" s="100">
        <v>92.5</v>
      </c>
      <c r="FE21" s="100">
        <v>100</v>
      </c>
      <c r="FF21" s="100">
        <v>78.125</v>
      </c>
      <c r="FG21" s="100">
        <v>40.425531914893611</v>
      </c>
      <c r="FH21" s="100">
        <v>96.086956521739125</v>
      </c>
      <c r="FI21" s="100">
        <v>100</v>
      </c>
      <c r="FJ21" s="100">
        <v>87.179487179487182</v>
      </c>
      <c r="FK21" s="100">
        <v>100</v>
      </c>
      <c r="FL21" s="100">
        <v>100</v>
      </c>
      <c r="FM21" s="100">
        <v>39.622641509433961</v>
      </c>
      <c r="FN21" s="100">
        <v>91.052631578947384</v>
      </c>
      <c r="FO21" s="100">
        <v>82.926829268292693</v>
      </c>
      <c r="FP21" s="100">
        <v>96.666666666666671</v>
      </c>
      <c r="FQ21" s="100">
        <v>100</v>
      </c>
      <c r="FR21" s="100">
        <v>96.15384615384616</v>
      </c>
      <c r="FS21" s="100">
        <v>100</v>
      </c>
      <c r="FT21" s="100">
        <v>76.328502415458928</v>
      </c>
      <c r="FU21" s="100">
        <v>93.750000000000014</v>
      </c>
      <c r="FV21" s="100">
        <v>15.384615384615385</v>
      </c>
      <c r="FW21" s="100">
        <v>84.848484848484844</v>
      </c>
      <c r="FX21" s="100">
        <v>25.806451612903224</v>
      </c>
      <c r="FY21" s="100">
        <v>27.777777777777779</v>
      </c>
      <c r="FZ21">
        <v>59</v>
      </c>
      <c r="GA21">
        <v>83</v>
      </c>
      <c r="GB21">
        <v>26</v>
      </c>
      <c r="GC21">
        <v>4</v>
      </c>
      <c r="GD21">
        <v>52</v>
      </c>
      <c r="GE21">
        <v>6</v>
      </c>
      <c r="GF21" s="97">
        <v>68.75</v>
      </c>
      <c r="GG21" s="97">
        <v>96.15384615384616</v>
      </c>
      <c r="GH21" s="97">
        <v>60.606060606060609</v>
      </c>
      <c r="GI21" s="97">
        <v>32.352941176470587</v>
      </c>
      <c r="GJ21" s="97">
        <v>93.103448275862064</v>
      </c>
      <c r="GK21" s="97">
        <v>20</v>
      </c>
      <c r="GL21" s="97">
        <v>46.428571428571423</v>
      </c>
      <c r="GM21" s="97">
        <v>82.35294117647058</v>
      </c>
      <c r="GN21" s="97">
        <v>37.5</v>
      </c>
      <c r="GO21" s="97">
        <v>0</v>
      </c>
      <c r="GP21" s="97">
        <v>48</v>
      </c>
      <c r="GQ21" s="97">
        <v>0</v>
      </c>
      <c r="GR21" s="97">
        <v>38.461538461538467</v>
      </c>
      <c r="GS21" s="119">
        <v>92.307692307692321</v>
      </c>
      <c r="GT21" s="97">
        <v>30.555555555555557</v>
      </c>
      <c r="GU21" s="119">
        <v>0</v>
      </c>
      <c r="GV21">
        <v>40</v>
      </c>
      <c r="GW21" s="97">
        <v>0</v>
      </c>
      <c r="GX21" s="97">
        <v>37.634408602150536</v>
      </c>
      <c r="GY21" s="97">
        <v>78.571428571428584</v>
      </c>
      <c r="GZ21" s="119">
        <v>2.5</v>
      </c>
      <c r="HA21" s="97">
        <v>0</v>
      </c>
      <c r="HB21" s="97">
        <v>13.333333333333334</v>
      </c>
    </row>
    <row r="22" spans="1:210" x14ac:dyDescent="0.25">
      <c r="A22" s="110" t="s">
        <v>222</v>
      </c>
      <c r="B22" s="32"/>
      <c r="C22" s="32"/>
      <c r="D22" s="33"/>
      <c r="E22" s="33"/>
      <c r="F22" s="33"/>
      <c r="G22" s="33"/>
      <c r="H22" s="32"/>
      <c r="I22" s="32"/>
      <c r="J22" s="33"/>
      <c r="K22" s="33"/>
      <c r="L22" s="33"/>
      <c r="M22" s="33"/>
      <c r="N22" s="32"/>
      <c r="O22" s="32"/>
      <c r="P22" s="33"/>
      <c r="Q22" s="33"/>
      <c r="R22" s="33"/>
      <c r="S22" s="33"/>
      <c r="T22" s="32"/>
      <c r="U22" s="32"/>
      <c r="V22" s="33"/>
      <c r="W22" s="33"/>
      <c r="X22" s="33"/>
      <c r="Y22" s="33"/>
      <c r="Z22" s="32"/>
      <c r="AA22" s="32"/>
      <c r="AB22" s="33"/>
      <c r="AC22" s="33"/>
      <c r="AD22" s="33"/>
      <c r="AE22" s="33"/>
      <c r="AF22" s="32"/>
      <c r="AG22" s="32"/>
      <c r="AH22" s="33"/>
      <c r="AI22" s="33"/>
      <c r="AJ22" s="33"/>
      <c r="AK22" s="33"/>
      <c r="AL22" s="32"/>
      <c r="AM22" s="32"/>
      <c r="AN22" s="33"/>
      <c r="AO22" s="33"/>
      <c r="AP22" s="33"/>
      <c r="AQ22" s="33"/>
      <c r="AR22" s="32"/>
      <c r="AS22" s="32"/>
      <c r="AT22" s="33"/>
      <c r="AU22" s="33"/>
      <c r="AV22" s="33"/>
      <c r="AW22" s="33"/>
      <c r="AX22" s="32"/>
      <c r="AY22" s="32"/>
      <c r="AZ22" s="33"/>
      <c r="BA22" s="33"/>
      <c r="BB22" s="33"/>
      <c r="BC22" s="33"/>
      <c r="BD22" s="32"/>
      <c r="BE22" s="32"/>
      <c r="BF22" s="33"/>
      <c r="BG22" s="33"/>
      <c r="BH22" s="33"/>
      <c r="BI22" s="33"/>
      <c r="BJ22" s="32"/>
      <c r="BK22" s="32"/>
      <c r="BL22" s="33"/>
      <c r="BM22" s="33"/>
      <c r="BN22" s="33"/>
      <c r="BO22" s="33"/>
      <c r="BP22" s="32"/>
      <c r="BQ22" s="32"/>
      <c r="BR22" s="33"/>
      <c r="BS22" s="33"/>
      <c r="BT22" s="33"/>
      <c r="BU22" s="33"/>
      <c r="BV22" s="32"/>
      <c r="BW22" s="32"/>
      <c r="BX22" s="33"/>
      <c r="BY22" s="33"/>
      <c r="BZ22" s="33"/>
      <c r="CA22" s="33"/>
      <c r="CB22" s="32"/>
      <c r="CC22" s="32"/>
      <c r="CD22" s="33"/>
      <c r="CE22" s="33"/>
      <c r="CF22" s="33"/>
      <c r="CG22" s="33"/>
      <c r="CH22" s="32"/>
      <c r="CI22" s="32"/>
      <c r="CJ22" s="33"/>
      <c r="CK22" s="33"/>
      <c r="CL22" s="33"/>
      <c r="CM22" s="33"/>
      <c r="CN22" s="32"/>
      <c r="CO22" s="32"/>
      <c r="CP22" s="33"/>
      <c r="CQ22" s="33"/>
      <c r="CR22" s="33"/>
      <c r="CS22" s="33"/>
      <c r="CT22" s="32"/>
      <c r="CU22" s="32"/>
      <c r="CV22" s="33"/>
      <c r="CW22" s="33"/>
      <c r="CX22" s="33"/>
      <c r="CY22" s="33"/>
      <c r="CZ22" s="32"/>
      <c r="DA22" s="32"/>
      <c r="DB22" s="33"/>
      <c r="DC22" s="33"/>
      <c r="DD22" s="33"/>
      <c r="DE22" s="33"/>
      <c r="DF22" s="32">
        <v>1</v>
      </c>
      <c r="DG22" s="32">
        <v>4</v>
      </c>
      <c r="DH22" s="33">
        <v>7</v>
      </c>
      <c r="DI22" s="33">
        <v>0</v>
      </c>
      <c r="DJ22" s="33">
        <v>0</v>
      </c>
      <c r="DK22" s="33" t="s">
        <v>36</v>
      </c>
      <c r="DL22" s="86">
        <v>1.8072773032745189</v>
      </c>
      <c r="DM22" s="86">
        <v>3.6363636363636367</v>
      </c>
      <c r="DN22" s="86">
        <v>0</v>
      </c>
      <c r="DO22" s="86">
        <v>0</v>
      </c>
      <c r="DP22" s="86">
        <v>0</v>
      </c>
      <c r="DQ22" s="87" t="s">
        <v>38</v>
      </c>
      <c r="DR22" s="100">
        <v>10.662177328843994</v>
      </c>
      <c r="DS22" s="100">
        <v>0</v>
      </c>
      <c r="DT22" s="100">
        <v>11.111111111111111</v>
      </c>
      <c r="DU22" s="100">
        <v>0</v>
      </c>
      <c r="DV22" s="100">
        <v>16</v>
      </c>
      <c r="DW22" s="101" t="s">
        <v>38</v>
      </c>
      <c r="DX22" s="100">
        <v>0</v>
      </c>
      <c r="DY22" s="100">
        <v>13.725490196078431</v>
      </c>
      <c r="DZ22" s="100">
        <v>0</v>
      </c>
      <c r="EA22" s="100">
        <v>76.190476190476176</v>
      </c>
      <c r="EB22" s="100">
        <v>4</v>
      </c>
      <c r="EC22" s="100" t="s">
        <v>172</v>
      </c>
      <c r="ED22" s="100">
        <v>2.1834061135371177</v>
      </c>
      <c r="EE22" s="100">
        <v>0</v>
      </c>
      <c r="EF22" s="100">
        <v>0</v>
      </c>
      <c r="EG22" s="100">
        <v>0</v>
      </c>
      <c r="EH22" s="100">
        <v>12.5</v>
      </c>
      <c r="EI22" s="100">
        <v>0</v>
      </c>
      <c r="EJ22" s="100">
        <v>21.145374449339208</v>
      </c>
      <c r="EK22" s="100">
        <v>5.5555555555555554</v>
      </c>
      <c r="EL22" s="100">
        <v>55.882352941176471</v>
      </c>
      <c r="EM22" s="100">
        <v>0</v>
      </c>
      <c r="EN22" s="100">
        <v>53.125</v>
      </c>
      <c r="EO22" s="100">
        <v>1.7857142857142856</v>
      </c>
      <c r="EP22" s="100">
        <v>23</v>
      </c>
      <c r="EQ22" s="100">
        <v>8</v>
      </c>
      <c r="ER22" s="100">
        <v>79</v>
      </c>
      <c r="ES22" s="100">
        <v>0</v>
      </c>
      <c r="ET22" s="100">
        <v>50</v>
      </c>
      <c r="EU22" s="100">
        <v>0</v>
      </c>
      <c r="EV22" s="100">
        <v>20.444444444444446</v>
      </c>
      <c r="EW22" s="100">
        <v>7.4074074074074083</v>
      </c>
      <c r="EX22" s="100">
        <v>71.428571428571431</v>
      </c>
      <c r="EY22" s="100">
        <v>0</v>
      </c>
      <c r="EZ22" s="100">
        <v>57.142857142857139</v>
      </c>
      <c r="FA22" s="100">
        <v>0</v>
      </c>
      <c r="FB22" s="100">
        <v>25</v>
      </c>
      <c r="FC22" s="100">
        <v>0</v>
      </c>
      <c r="FD22" s="100">
        <v>100</v>
      </c>
      <c r="FE22" s="100">
        <v>6.8181818181818192</v>
      </c>
      <c r="FF22" s="100">
        <v>90.625</v>
      </c>
      <c r="FG22" s="100">
        <v>0</v>
      </c>
      <c r="FH22" s="100">
        <v>33.478260869565212</v>
      </c>
      <c r="FI22" s="100">
        <v>8.928571428571427</v>
      </c>
      <c r="FJ22" s="100">
        <v>87.179487179487182</v>
      </c>
      <c r="FK22" s="100">
        <v>6.25</v>
      </c>
      <c r="FL22" s="100">
        <v>82.758620689655174</v>
      </c>
      <c r="FM22" s="100">
        <v>16.981132075471699</v>
      </c>
      <c r="FN22" s="100">
        <v>44.210526315789487</v>
      </c>
      <c r="FO22" s="100">
        <v>4.8780487804878057</v>
      </c>
      <c r="FP22" s="100">
        <v>83.333333333333343</v>
      </c>
      <c r="FQ22" s="100">
        <v>9.9999999999999964</v>
      </c>
      <c r="FR22" s="100">
        <v>92.307692307692307</v>
      </c>
      <c r="FS22" s="100">
        <v>33.928571428571431</v>
      </c>
      <c r="FT22" s="100">
        <v>36.231884057971016</v>
      </c>
      <c r="FU22" s="100">
        <v>29.166666666666668</v>
      </c>
      <c r="FV22" s="100">
        <v>5.1282051282051277</v>
      </c>
      <c r="FW22" s="100">
        <v>0</v>
      </c>
      <c r="FX22" s="100">
        <v>35.483870967741936</v>
      </c>
      <c r="FY22" s="100">
        <v>9.2592592592592595</v>
      </c>
      <c r="FZ22">
        <v>22</v>
      </c>
      <c r="GA22">
        <v>8</v>
      </c>
      <c r="GB22">
        <v>0</v>
      </c>
      <c r="GC22">
        <v>0</v>
      </c>
      <c r="GD22">
        <v>32</v>
      </c>
      <c r="GE22">
        <v>3</v>
      </c>
      <c r="GF22" s="97">
        <v>15.384615384615385</v>
      </c>
      <c r="GG22" s="97">
        <v>17.30769230769231</v>
      </c>
      <c r="GH22" s="97">
        <v>6.0606060606060606</v>
      </c>
      <c r="GI22" s="97">
        <v>0</v>
      </c>
      <c r="GJ22" s="97">
        <v>20.689655172413794</v>
      </c>
      <c r="GK22" s="97">
        <v>0</v>
      </c>
      <c r="GL22" s="97">
        <v>12.244897959183671</v>
      </c>
      <c r="GM22" s="97">
        <v>3.9215686274509802</v>
      </c>
      <c r="GN22" s="97">
        <v>0</v>
      </c>
      <c r="GO22" s="97">
        <v>0</v>
      </c>
      <c r="GP22" s="97">
        <v>16</v>
      </c>
      <c r="GQ22" s="97">
        <v>0</v>
      </c>
      <c r="GR22" s="97">
        <v>12.820512820512823</v>
      </c>
      <c r="GS22" s="97">
        <v>2.5641025641025643</v>
      </c>
      <c r="GT22" s="97">
        <v>0</v>
      </c>
      <c r="GU22" s="97">
        <v>0</v>
      </c>
      <c r="GV22">
        <v>8</v>
      </c>
      <c r="GW22" s="97">
        <v>0</v>
      </c>
      <c r="GX22" s="97">
        <v>10.752688172043008</v>
      </c>
      <c r="GY22" s="97">
        <v>7.1428571428571423</v>
      </c>
      <c r="GZ22" s="97">
        <v>0</v>
      </c>
      <c r="HA22" s="97">
        <v>0</v>
      </c>
      <c r="HB22" s="97">
        <v>3.3333333333333335</v>
      </c>
    </row>
    <row r="23" spans="1:210" x14ac:dyDescent="0.25">
      <c r="A23" s="110" t="s">
        <v>214</v>
      </c>
      <c r="B23" s="32"/>
      <c r="C23" s="32"/>
      <c r="D23" s="33"/>
      <c r="E23" s="33"/>
      <c r="F23" s="33"/>
      <c r="G23" s="33"/>
      <c r="H23" s="32"/>
      <c r="I23" s="32"/>
      <c r="J23" s="33"/>
      <c r="K23" s="33"/>
      <c r="L23" s="33"/>
      <c r="M23" s="33"/>
      <c r="N23" s="32"/>
      <c r="O23" s="32"/>
      <c r="P23" s="33"/>
      <c r="Q23" s="33"/>
      <c r="R23" s="33"/>
      <c r="S23" s="33"/>
      <c r="T23" s="32"/>
      <c r="U23" s="32"/>
      <c r="V23" s="33"/>
      <c r="W23" s="33"/>
      <c r="X23" s="33"/>
      <c r="Y23" s="33"/>
      <c r="Z23" s="32"/>
      <c r="AA23" s="32"/>
      <c r="AB23" s="33"/>
      <c r="AC23" s="33"/>
      <c r="AD23" s="33"/>
      <c r="AE23" s="33"/>
      <c r="AF23" s="32"/>
      <c r="AG23" s="32"/>
      <c r="AH23" s="33"/>
      <c r="AI23" s="33"/>
      <c r="AJ23" s="33"/>
      <c r="AK23" s="33"/>
      <c r="AL23" s="32"/>
      <c r="AM23" s="32"/>
      <c r="AN23" s="33"/>
      <c r="AO23" s="33"/>
      <c r="AP23" s="33"/>
      <c r="AQ23" s="33"/>
      <c r="AR23" s="32"/>
      <c r="AS23" s="32"/>
      <c r="AT23" s="33"/>
      <c r="AU23" s="33"/>
      <c r="AV23" s="33"/>
      <c r="AW23" s="33"/>
      <c r="AX23" s="32"/>
      <c r="AY23" s="32"/>
      <c r="AZ23" s="33"/>
      <c r="BA23" s="33"/>
      <c r="BB23" s="33"/>
      <c r="BC23" s="33"/>
      <c r="BD23" s="32"/>
      <c r="BE23" s="32"/>
      <c r="BF23" s="33"/>
      <c r="BG23" s="33"/>
      <c r="BH23" s="33"/>
      <c r="BI23" s="33"/>
      <c r="BJ23" s="32"/>
      <c r="BK23" s="32"/>
      <c r="BL23" s="33"/>
      <c r="BM23" s="33"/>
      <c r="BN23" s="33"/>
      <c r="BO23" s="33"/>
      <c r="BP23" s="32"/>
      <c r="BQ23" s="32"/>
      <c r="BR23" s="33"/>
      <c r="BS23" s="33"/>
      <c r="BT23" s="33"/>
      <c r="BU23" s="33"/>
      <c r="BV23" s="32"/>
      <c r="BW23" s="32"/>
      <c r="BX23" s="33"/>
      <c r="BY23" s="33"/>
      <c r="BZ23" s="33"/>
      <c r="CA23" s="33"/>
      <c r="CB23" s="32"/>
      <c r="CC23" s="32"/>
      <c r="CD23" s="33"/>
      <c r="CE23" s="33"/>
      <c r="CF23" s="33"/>
      <c r="CG23" s="33"/>
      <c r="CH23" s="32"/>
      <c r="CI23" s="32"/>
      <c r="CJ23" s="33"/>
      <c r="CK23" s="33"/>
      <c r="CL23" s="33"/>
      <c r="CM23" s="33"/>
      <c r="CN23" s="32"/>
      <c r="CO23" s="32"/>
      <c r="CP23" s="33"/>
      <c r="CQ23" s="33"/>
      <c r="CR23" s="33"/>
      <c r="CS23" s="33"/>
      <c r="CT23" s="32"/>
      <c r="CU23" s="32"/>
      <c r="CV23" s="33"/>
      <c r="CW23" s="33"/>
      <c r="CX23" s="33"/>
      <c r="CY23" s="33"/>
      <c r="CZ23" s="32"/>
      <c r="DA23" s="32"/>
      <c r="DB23" s="33"/>
      <c r="DC23" s="33"/>
      <c r="DD23" s="33"/>
      <c r="DE23" s="33"/>
      <c r="DF23" s="32">
        <v>0</v>
      </c>
      <c r="DG23" s="32">
        <v>0</v>
      </c>
      <c r="DH23" s="33">
        <v>0</v>
      </c>
      <c r="DI23" s="33">
        <v>0</v>
      </c>
      <c r="DJ23" s="33">
        <v>0</v>
      </c>
      <c r="DK23" s="33">
        <v>71</v>
      </c>
      <c r="DL23" s="86">
        <v>7.1674208144796383</v>
      </c>
      <c r="DM23" s="86">
        <v>8.3487940630797794</v>
      </c>
      <c r="DN23" s="86">
        <v>0</v>
      </c>
      <c r="DO23" s="87" t="s">
        <v>38</v>
      </c>
      <c r="DP23" s="86">
        <v>0</v>
      </c>
      <c r="DQ23" s="86">
        <v>100</v>
      </c>
      <c r="DR23" s="100">
        <v>0</v>
      </c>
      <c r="DS23" s="100">
        <v>0</v>
      </c>
      <c r="DT23" s="100">
        <v>0</v>
      </c>
      <c r="DU23" s="100" t="s">
        <v>38</v>
      </c>
      <c r="DV23" s="100">
        <v>0</v>
      </c>
      <c r="DW23" s="100">
        <v>68.965517241379317</v>
      </c>
      <c r="DX23" s="100">
        <v>0</v>
      </c>
      <c r="DY23" s="100">
        <v>4.5480914259194805</v>
      </c>
      <c r="DZ23" s="100">
        <v>0</v>
      </c>
      <c r="EA23" s="100" t="s">
        <v>172</v>
      </c>
      <c r="EB23" s="100">
        <v>0</v>
      </c>
      <c r="EC23" s="100">
        <v>80</v>
      </c>
      <c r="ED23" s="100">
        <v>0</v>
      </c>
      <c r="EE23" s="100">
        <v>0</v>
      </c>
      <c r="EF23" s="100">
        <v>0</v>
      </c>
      <c r="EG23" s="100">
        <v>0</v>
      </c>
      <c r="EH23" s="100">
        <v>0</v>
      </c>
      <c r="EI23" s="100">
        <v>0</v>
      </c>
      <c r="EJ23" s="100">
        <v>0.88105726872246704</v>
      </c>
      <c r="EK23" s="100">
        <v>1.8518518518518521</v>
      </c>
      <c r="EL23" s="100">
        <v>2.9411764705882351</v>
      </c>
      <c r="EM23" s="100">
        <v>7.1428571428571423</v>
      </c>
      <c r="EN23" s="100">
        <v>0</v>
      </c>
      <c r="EO23" s="100">
        <v>7.1428571428571423</v>
      </c>
      <c r="EP23" s="100">
        <v>3</v>
      </c>
      <c r="EQ23" s="100">
        <v>2</v>
      </c>
      <c r="ER23" s="100">
        <v>0</v>
      </c>
      <c r="ES23" s="100">
        <v>0</v>
      </c>
      <c r="ET23" s="100">
        <v>0</v>
      </c>
      <c r="EU23" s="100">
        <v>0</v>
      </c>
      <c r="EV23" s="100">
        <v>0</v>
      </c>
      <c r="EW23" s="100">
        <v>0</v>
      </c>
      <c r="EX23" s="100">
        <v>0</v>
      </c>
      <c r="EY23" s="100">
        <v>0</v>
      </c>
      <c r="EZ23" s="100">
        <v>0</v>
      </c>
      <c r="FA23" s="100">
        <v>9.5238095238095237</v>
      </c>
      <c r="FB23" s="100">
        <v>0</v>
      </c>
      <c r="FC23" s="100">
        <v>0</v>
      </c>
      <c r="FD23" s="100">
        <v>0</v>
      </c>
      <c r="FE23" s="100">
        <v>0</v>
      </c>
      <c r="FF23" s="100">
        <v>0</v>
      </c>
      <c r="FG23" s="100">
        <v>17.021276595744681</v>
      </c>
      <c r="FH23" s="100">
        <v>1.3043478260869565</v>
      </c>
      <c r="FI23" s="100">
        <v>0</v>
      </c>
      <c r="FJ23" s="100">
        <v>0</v>
      </c>
      <c r="FK23" s="100">
        <v>0</v>
      </c>
      <c r="FL23" s="100">
        <v>6.8965517241379306</v>
      </c>
      <c r="FM23" s="100">
        <v>30.188679245283019</v>
      </c>
      <c r="FN23" s="100">
        <v>5.7894736842105265</v>
      </c>
      <c r="FO23" s="100">
        <v>0</v>
      </c>
      <c r="FP23" s="100">
        <v>3.3333333333333335</v>
      </c>
      <c r="FQ23" s="100">
        <v>0</v>
      </c>
      <c r="FR23" s="100">
        <v>15.384615384615385</v>
      </c>
      <c r="FS23" s="100">
        <v>39.285714285714285</v>
      </c>
      <c r="FT23" s="100">
        <v>28.985507246376812</v>
      </c>
      <c r="FU23" s="100">
        <v>97.916666666666671</v>
      </c>
      <c r="FV23" s="100">
        <v>28.205128205128212</v>
      </c>
      <c r="FW23" s="100">
        <v>0</v>
      </c>
      <c r="FX23" s="100">
        <v>70.967741935483872</v>
      </c>
      <c r="FY23" s="100">
        <v>11.111111111111111</v>
      </c>
      <c r="FZ23">
        <v>28</v>
      </c>
      <c r="GA23">
        <v>94</v>
      </c>
      <c r="GB23">
        <v>13</v>
      </c>
      <c r="GC23">
        <v>0</v>
      </c>
      <c r="GD23">
        <v>56</v>
      </c>
      <c r="GE23">
        <v>6</v>
      </c>
      <c r="GF23" s="97">
        <v>21.15384615384615</v>
      </c>
      <c r="GG23" s="97">
        <v>80.769230769230759</v>
      </c>
      <c r="GH23" s="97">
        <v>0</v>
      </c>
      <c r="GI23" s="97">
        <v>5.8823529411764683</v>
      </c>
      <c r="GJ23" s="97">
        <v>37.931034482758619</v>
      </c>
      <c r="GK23" s="97">
        <v>8.8888888888888893</v>
      </c>
      <c r="GL23" s="97">
        <v>18.367346938775508</v>
      </c>
      <c r="GM23" s="97">
        <v>47.058823529411761</v>
      </c>
      <c r="GN23" s="97">
        <v>9.375</v>
      </c>
      <c r="GO23" s="97">
        <v>0</v>
      </c>
      <c r="GP23" s="97">
        <v>56.000000000000007</v>
      </c>
      <c r="GQ23" s="97">
        <v>0</v>
      </c>
      <c r="GR23" s="97">
        <v>13.333333333333334</v>
      </c>
      <c r="GS23" s="97">
        <v>58.974358974358978</v>
      </c>
      <c r="GT23" s="97">
        <v>11.111111111111111</v>
      </c>
      <c r="GU23" s="97">
        <v>0</v>
      </c>
      <c r="GV23">
        <v>60</v>
      </c>
      <c r="GW23" s="97">
        <v>0</v>
      </c>
      <c r="GX23" s="97">
        <v>6.4516129032258061</v>
      </c>
      <c r="GY23" s="97">
        <v>40.476190476190474</v>
      </c>
      <c r="GZ23" s="97">
        <v>5</v>
      </c>
      <c r="HA23" s="97">
        <v>0</v>
      </c>
      <c r="HB23" s="97">
        <v>6.666666666666667</v>
      </c>
    </row>
    <row r="24" spans="1:210" ht="24.95" customHeight="1" x14ac:dyDescent="0.25">
      <c r="B24" s="140"/>
      <c r="C24" s="141"/>
      <c r="D24" s="141"/>
      <c r="E24" s="141"/>
      <c r="F24" s="141"/>
      <c r="G24" s="142"/>
      <c r="H24" s="140"/>
      <c r="I24" s="141"/>
      <c r="J24" s="141"/>
      <c r="K24" s="141"/>
      <c r="L24" s="141"/>
      <c r="M24" s="142"/>
      <c r="N24" s="140"/>
      <c r="O24" s="141"/>
      <c r="P24" s="141"/>
      <c r="Q24" s="141"/>
      <c r="R24" s="141"/>
      <c r="S24" s="142"/>
      <c r="T24" s="140"/>
      <c r="U24" s="141"/>
      <c r="V24" s="141"/>
      <c r="W24" s="141"/>
      <c r="X24" s="141"/>
      <c r="Y24" s="142"/>
      <c r="Z24" s="140"/>
      <c r="AA24" s="141"/>
      <c r="AB24" s="141"/>
      <c r="AC24" s="141"/>
      <c r="AD24" s="141"/>
      <c r="AE24" s="142"/>
      <c r="AF24" s="140"/>
      <c r="AG24" s="141"/>
      <c r="AH24" s="141"/>
      <c r="AI24" s="141"/>
      <c r="AJ24" s="141"/>
      <c r="AK24" s="142"/>
      <c r="AL24" s="140"/>
      <c r="AM24" s="141"/>
      <c r="AN24" s="141"/>
      <c r="AO24" s="141"/>
      <c r="AP24" s="141"/>
      <c r="AQ24" s="142"/>
      <c r="AR24" s="140"/>
      <c r="AS24" s="141"/>
      <c r="AT24" s="141"/>
      <c r="AU24" s="141"/>
      <c r="AV24" s="141"/>
      <c r="AW24" s="142"/>
      <c r="AX24" s="140"/>
      <c r="AY24" s="141"/>
      <c r="AZ24" s="141"/>
      <c r="BA24" s="141"/>
      <c r="BB24" s="141"/>
      <c r="BC24" s="142"/>
      <c r="BD24" s="140"/>
      <c r="BE24" s="141"/>
      <c r="BF24" s="141"/>
      <c r="BG24" s="141"/>
      <c r="BH24" s="141"/>
      <c r="BI24" s="142"/>
      <c r="BJ24" s="140"/>
      <c r="BK24" s="141"/>
      <c r="BL24" s="141"/>
      <c r="BM24" s="141"/>
      <c r="BN24" s="141"/>
      <c r="BO24" s="142"/>
      <c r="BP24" s="140"/>
      <c r="BQ24" s="141"/>
      <c r="BR24" s="141"/>
      <c r="BS24" s="141"/>
      <c r="BT24" s="141"/>
      <c r="BU24" s="142"/>
      <c r="BV24" s="140"/>
      <c r="BW24" s="141"/>
      <c r="BX24" s="141"/>
      <c r="BY24" s="141"/>
      <c r="BZ24" s="141"/>
      <c r="CA24" s="142"/>
      <c r="CB24" s="140"/>
      <c r="CC24" s="141"/>
      <c r="CD24" s="141"/>
      <c r="CE24" s="141"/>
      <c r="CF24" s="141"/>
      <c r="CG24" s="142"/>
      <c r="CH24" s="140"/>
      <c r="CI24" s="141"/>
      <c r="CJ24" s="141"/>
      <c r="CK24" s="141"/>
      <c r="CL24" s="141"/>
      <c r="CM24" s="142"/>
      <c r="CN24" s="140"/>
      <c r="CO24" s="141"/>
      <c r="CP24" s="141"/>
      <c r="CQ24" s="141"/>
      <c r="CR24" s="141"/>
      <c r="CS24" s="142"/>
      <c r="CT24" s="140"/>
      <c r="CU24" s="141"/>
      <c r="CV24" s="141"/>
      <c r="CW24" s="141"/>
      <c r="CX24" s="141"/>
      <c r="CY24" s="142"/>
      <c r="CZ24" s="140"/>
      <c r="DA24" s="141"/>
      <c r="DB24" s="141"/>
      <c r="DC24" s="141"/>
      <c r="DD24" s="141"/>
      <c r="DE24" s="142"/>
      <c r="DF24" s="140"/>
      <c r="DG24" s="141"/>
      <c r="DH24" s="141"/>
      <c r="DI24" s="141"/>
      <c r="DJ24" s="141"/>
      <c r="DK24" s="142"/>
      <c r="DL24" s="140"/>
      <c r="DM24" s="141"/>
      <c r="DN24" s="141"/>
      <c r="DO24" s="141"/>
      <c r="DP24" s="141"/>
      <c r="DQ24" s="142"/>
    </row>
  </sheetData>
  <mergeCells count="55">
    <mergeCell ref="DL24:DQ24"/>
    <mergeCell ref="DF24:DK24"/>
    <mergeCell ref="DL1:DQ1"/>
    <mergeCell ref="ED1:EI1"/>
    <mergeCell ref="EP1:EU1"/>
    <mergeCell ref="EJ1:EO1"/>
    <mergeCell ref="CH24:CM24"/>
    <mergeCell ref="CN24:CS24"/>
    <mergeCell ref="CT24:CY24"/>
    <mergeCell ref="CZ24:DE24"/>
    <mergeCell ref="AX24:BC24"/>
    <mergeCell ref="BD24:BI24"/>
    <mergeCell ref="BJ24:BO24"/>
    <mergeCell ref="BP24:BU24"/>
    <mergeCell ref="BV24:CA24"/>
    <mergeCell ref="AF24:AK24"/>
    <mergeCell ref="AL24:AQ24"/>
    <mergeCell ref="AR24:AW24"/>
    <mergeCell ref="BV1:CA1"/>
    <mergeCell ref="CB1:CG1"/>
    <mergeCell ref="AF1:AK1"/>
    <mergeCell ref="AL1:AQ1"/>
    <mergeCell ref="AR1:AW1"/>
    <mergeCell ref="AX1:BC1"/>
    <mergeCell ref="BD1:BI1"/>
    <mergeCell ref="BP1:BU1"/>
    <mergeCell ref="CB24:CG24"/>
    <mergeCell ref="B24:G24"/>
    <mergeCell ref="H24:M24"/>
    <mergeCell ref="N24:S24"/>
    <mergeCell ref="T24:Y24"/>
    <mergeCell ref="Z24:AE24"/>
    <mergeCell ref="CH1:CM1"/>
    <mergeCell ref="BJ1:BO1"/>
    <mergeCell ref="B1:G1"/>
    <mergeCell ref="H1:M1"/>
    <mergeCell ref="N1:S1"/>
    <mergeCell ref="T1:Y1"/>
    <mergeCell ref="Z1:AE1"/>
    <mergeCell ref="GF1:GK1"/>
    <mergeCell ref="GX1:HC1"/>
    <mergeCell ref="CN1:CS1"/>
    <mergeCell ref="CT1:CY1"/>
    <mergeCell ref="CZ1:DE1"/>
    <mergeCell ref="GR1:GW1"/>
    <mergeCell ref="DX1:EC1"/>
    <mergeCell ref="DR1:DW1"/>
    <mergeCell ref="DF1:DK1"/>
    <mergeCell ref="FT1:FY1"/>
    <mergeCell ref="FH1:FM1"/>
    <mergeCell ref="EV1:FA1"/>
    <mergeCell ref="GL1:GQ1"/>
    <mergeCell ref="FZ1:GE1"/>
    <mergeCell ref="FN1:FS1"/>
    <mergeCell ref="FB1:FG1"/>
  </mergeCells>
  <conditionalFormatting sqref="DX6:EC23">
    <cfRule type="cellIs" dxfId="19" priority="44" operator="greaterThan">
      <formula>50</formula>
    </cfRule>
  </conditionalFormatting>
  <conditionalFormatting sqref="ED6:EI23">
    <cfRule type="dataBar" priority="9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{1C889177-14A4-4815-B223-CB1F03952642}</x14:id>
        </ext>
      </extLst>
    </cfRule>
  </conditionalFormatting>
  <conditionalFormatting sqref="EJ6:EJ23">
    <cfRule type="dataBar" priority="9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{DDE5A553-191C-4204-B11E-04BD0BE7AFC6}</x14:id>
        </ext>
      </extLst>
    </cfRule>
  </conditionalFormatting>
  <conditionalFormatting sqref="EK6:EK23">
    <cfRule type="dataBar" priority="9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{108B89A3-A65A-426F-A18F-1E0D64642AE9}</x14:id>
        </ext>
      </extLst>
    </cfRule>
  </conditionalFormatting>
  <conditionalFormatting sqref="EL6:EO23">
    <cfRule type="dataBar" priority="9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{704748D6-B783-4F5E-9E7A-1886D60835D5}</x14:id>
        </ext>
      </extLst>
    </cfRule>
  </conditionalFormatting>
  <conditionalFormatting sqref="EP6:EP23 ET6:ET23">
    <cfRule type="dataBar" priority="9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{653F8377-CAB6-41A4-836C-B54ED1822705}</x14:id>
        </ext>
      </extLst>
    </cfRule>
  </conditionalFormatting>
  <conditionalFormatting sqref="EQ6:EQ23 EU6:EU23">
    <cfRule type="dataBar" priority="10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{FCDD67C5-9C06-4F7E-92E0-FFFEF22CE906}</x14:id>
        </ext>
      </extLst>
    </cfRule>
  </conditionalFormatting>
  <conditionalFormatting sqref="ER6:ES23">
    <cfRule type="dataBar" priority="10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{233141BB-F597-4D1C-AFC3-87E2CC6B3294}</x14:id>
        </ext>
      </extLst>
    </cfRule>
  </conditionalFormatting>
  <conditionalFormatting sqref="EV6:EV23 EZ6:EZ23">
    <cfRule type="dataBar" priority="10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{394EC397-7017-4F0C-B278-547F5CAF833C}</x14:id>
        </ext>
      </extLst>
    </cfRule>
  </conditionalFormatting>
  <conditionalFormatting sqref="EW6:EW23 FA6:FA23">
    <cfRule type="dataBar" priority="11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{3E4548A3-9727-43EF-B92C-9BB8E7CD18EB}</x14:id>
        </ext>
      </extLst>
    </cfRule>
  </conditionalFormatting>
  <conditionalFormatting sqref="EX6:EY23">
    <cfRule type="dataBar" priority="11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{8A7EFCD4-2E48-45D9-AB28-C19F03BA4D3B}</x14:id>
        </ext>
      </extLst>
    </cfRule>
  </conditionalFormatting>
  <conditionalFormatting sqref="FB6:FG23">
    <cfRule type="dataBar" priority="11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{71DA5F02-0B3D-409A-BB57-09AAB35B326F}</x14:id>
        </ext>
      </extLst>
    </cfRule>
  </conditionalFormatting>
  <conditionalFormatting sqref="FH6:FM23">
    <cfRule type="dataBar" priority="12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{3E9F7053-1201-4305-A1F8-1EEDD2E70BF1}</x14:id>
        </ext>
      </extLst>
    </cfRule>
  </conditionalFormatting>
  <conditionalFormatting sqref="FN6:FS23">
    <cfRule type="dataBar" priority="12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{14CD244B-5A84-4F12-A092-67CDEA4D9FA4}</x14:id>
        </ext>
      </extLst>
    </cfRule>
  </conditionalFormatting>
  <conditionalFormatting sqref="FT6:FY23">
    <cfRule type="dataBar" priority="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{508AB399-BA7F-4D1E-A9E2-1B4BB05923DD}</x14:id>
        </ext>
      </extLst>
    </cfRule>
  </conditionalFormatting>
  <conditionalFormatting sqref="FZ6:GE23">
    <cfRule type="dataBar" priority="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{9D135157-C6C5-48AE-8586-36F917509BDE}</x14:id>
        </ext>
      </extLst>
    </cfRule>
  </conditionalFormatting>
  <conditionalFormatting sqref="GF6:GK23">
    <cfRule type="dataBar" priority="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{60A6A54B-CAAF-4372-B8AC-FD771478D00A}</x14:id>
        </ext>
      </extLst>
    </cfRule>
  </conditionalFormatting>
  <conditionalFormatting sqref="GL6:GQ23">
    <cfRule type="dataBar" priority="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{EF34A6D2-4C6D-4946-9D25-E3977118144A}</x14:id>
        </ext>
      </extLst>
    </cfRule>
  </conditionalFormatting>
  <conditionalFormatting sqref="GR6:GW23">
    <cfRule type="dataBar" priority="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{8FD790B8-D518-4689-AC9F-27B2BB1CCE6A}</x14:id>
        </ext>
      </extLst>
    </cfRule>
  </conditionalFormatting>
  <conditionalFormatting sqref="GX6:GX23">
    <cfRule type="dataBar" priority="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{7379802A-F547-4218-8383-DC7857940C50}</x14:id>
        </ext>
      </extLst>
    </cfRule>
  </conditionalFormatting>
  <conditionalFormatting sqref="GY6:HC23">
    <cfRule type="dataBar" priority="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{B06A0D21-B48D-44EB-988C-DBC631D7916C}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889177-14A4-4815-B223-CB1F039526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ED6:EI23</xm:sqref>
        </x14:conditionalFormatting>
        <x14:conditionalFormatting xmlns:xm="http://schemas.microsoft.com/office/excel/2006/main">
          <x14:cfRule type="dataBar" id="{DDE5A553-191C-4204-B11E-04BD0BE7AF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EJ6:EJ23</xm:sqref>
        </x14:conditionalFormatting>
        <x14:conditionalFormatting xmlns:xm="http://schemas.microsoft.com/office/excel/2006/main">
          <x14:cfRule type="dataBar" id="{108B89A3-A65A-426F-A18F-1E0D64642A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EK6:EK23</xm:sqref>
        </x14:conditionalFormatting>
        <x14:conditionalFormatting xmlns:xm="http://schemas.microsoft.com/office/excel/2006/main">
          <x14:cfRule type="dataBar" id="{704748D6-B783-4F5E-9E7A-1886D60835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EL6:EO23</xm:sqref>
        </x14:conditionalFormatting>
        <x14:conditionalFormatting xmlns:xm="http://schemas.microsoft.com/office/excel/2006/main">
          <x14:cfRule type="dataBar" id="{653F8377-CAB6-41A4-836C-B54ED18227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EP6:EP23 ET6:ET23</xm:sqref>
        </x14:conditionalFormatting>
        <x14:conditionalFormatting xmlns:xm="http://schemas.microsoft.com/office/excel/2006/main">
          <x14:cfRule type="dataBar" id="{FCDD67C5-9C06-4F7E-92E0-FFFEF22CE9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EQ6:EQ23 EU6:EU23</xm:sqref>
        </x14:conditionalFormatting>
        <x14:conditionalFormatting xmlns:xm="http://schemas.microsoft.com/office/excel/2006/main">
          <x14:cfRule type="dataBar" id="{233141BB-F597-4D1C-AFC3-87E2CC6B32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ER6:ES23</xm:sqref>
        </x14:conditionalFormatting>
        <x14:conditionalFormatting xmlns:xm="http://schemas.microsoft.com/office/excel/2006/main">
          <x14:cfRule type="dataBar" id="{394EC397-7017-4F0C-B278-547F5CAF83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EV6:EV23 EZ6:EZ23</xm:sqref>
        </x14:conditionalFormatting>
        <x14:conditionalFormatting xmlns:xm="http://schemas.microsoft.com/office/excel/2006/main">
          <x14:cfRule type="dataBar" id="{3E4548A3-9727-43EF-B92C-9BB8E7CD18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EW6:EW23 FA6:FA23</xm:sqref>
        </x14:conditionalFormatting>
        <x14:conditionalFormatting xmlns:xm="http://schemas.microsoft.com/office/excel/2006/main">
          <x14:cfRule type="dataBar" id="{8A7EFCD4-2E48-45D9-AB28-C19F03BA4D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EX6:EY23</xm:sqref>
        </x14:conditionalFormatting>
        <x14:conditionalFormatting xmlns:xm="http://schemas.microsoft.com/office/excel/2006/main">
          <x14:cfRule type="dataBar" id="{71DA5F02-0B3D-409A-BB57-09AAB35B3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FB6:FG23</xm:sqref>
        </x14:conditionalFormatting>
        <x14:conditionalFormatting xmlns:xm="http://schemas.microsoft.com/office/excel/2006/main">
          <x14:cfRule type="dataBar" id="{3E9F7053-1201-4305-A1F8-1EEDD2E70B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FH6:FM23</xm:sqref>
        </x14:conditionalFormatting>
        <x14:conditionalFormatting xmlns:xm="http://schemas.microsoft.com/office/excel/2006/main">
          <x14:cfRule type="dataBar" id="{14CD244B-5A84-4F12-A092-67CDEA4D9F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FN6:FS23</xm:sqref>
        </x14:conditionalFormatting>
        <x14:conditionalFormatting xmlns:xm="http://schemas.microsoft.com/office/excel/2006/main">
          <x14:cfRule type="dataBar" id="{508AB399-BA7F-4D1E-A9E2-1B4BB05923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FT6:FY23</xm:sqref>
        </x14:conditionalFormatting>
        <x14:conditionalFormatting xmlns:xm="http://schemas.microsoft.com/office/excel/2006/main">
          <x14:cfRule type="dataBar" id="{9D135157-C6C5-48AE-8586-36F917509B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FZ6:GE23</xm:sqref>
        </x14:conditionalFormatting>
        <x14:conditionalFormatting xmlns:xm="http://schemas.microsoft.com/office/excel/2006/main">
          <x14:cfRule type="dataBar" id="{60A6A54B-CAAF-4372-B8AC-FD771478D0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GF6:GK23</xm:sqref>
        </x14:conditionalFormatting>
        <x14:conditionalFormatting xmlns:xm="http://schemas.microsoft.com/office/excel/2006/main">
          <x14:cfRule type="dataBar" id="{EF34A6D2-4C6D-4946-9D25-E397711814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GL6:GQ23</xm:sqref>
        </x14:conditionalFormatting>
        <x14:conditionalFormatting xmlns:xm="http://schemas.microsoft.com/office/excel/2006/main">
          <x14:cfRule type="dataBar" id="{8FD790B8-D518-4689-AC9F-27B2BB1CCE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GR6:GW23</xm:sqref>
        </x14:conditionalFormatting>
        <x14:conditionalFormatting xmlns:xm="http://schemas.microsoft.com/office/excel/2006/main">
          <x14:cfRule type="dataBar" id="{7379802A-F547-4218-8383-DC7857940C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GX6:GX23</xm:sqref>
        </x14:conditionalFormatting>
        <x14:conditionalFormatting xmlns:xm="http://schemas.microsoft.com/office/excel/2006/main">
          <x14:cfRule type="dataBar" id="{B06A0D21-B48D-44EB-988C-DBC631D791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GY6:HC23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249977111117893"/>
  </sheetPr>
  <dimension ref="A1:FA25"/>
  <sheetViews>
    <sheetView zoomScale="90" zoomScaleNormal="90" workbookViewId="0">
      <pane xSplit="1" ySplit="5" topLeftCell="EM6" activePane="bottomRight" state="frozen"/>
      <selection pane="topRight" activeCell="B1" sqref="B1"/>
      <selection pane="bottomLeft" activeCell="A6" sqref="A6"/>
      <selection pane="bottomRight" activeCell="FG9" sqref="FG9:FL26"/>
    </sheetView>
  </sheetViews>
  <sheetFormatPr defaultRowHeight="15" x14ac:dyDescent="0.25"/>
  <cols>
    <col min="1" max="1" width="51.42578125" bestFit="1" customWidth="1"/>
    <col min="2" max="121" width="13.42578125" customWidth="1"/>
  </cols>
  <sheetData>
    <row r="1" spans="1:157" s="63" customFormat="1" ht="21" x14ac:dyDescent="0.35">
      <c r="B1" s="139" t="s">
        <v>113</v>
      </c>
      <c r="C1" s="139"/>
      <c r="D1" s="139"/>
      <c r="E1" s="139"/>
      <c r="F1" s="139"/>
      <c r="G1" s="139"/>
      <c r="H1" s="139" t="s">
        <v>114</v>
      </c>
      <c r="I1" s="139"/>
      <c r="J1" s="139"/>
      <c r="K1" s="139"/>
      <c r="L1" s="139"/>
      <c r="M1" s="139"/>
      <c r="N1" s="139" t="s">
        <v>115</v>
      </c>
      <c r="O1" s="139"/>
      <c r="P1" s="139"/>
      <c r="Q1" s="139"/>
      <c r="R1" s="139"/>
      <c r="S1" s="139"/>
      <c r="T1" s="139" t="s">
        <v>116</v>
      </c>
      <c r="U1" s="139"/>
      <c r="V1" s="139"/>
      <c r="W1" s="139"/>
      <c r="X1" s="139"/>
      <c r="Y1" s="139"/>
      <c r="Z1" s="139" t="s">
        <v>117</v>
      </c>
      <c r="AA1" s="139"/>
      <c r="AB1" s="139"/>
      <c r="AC1" s="139"/>
      <c r="AD1" s="139"/>
      <c r="AE1" s="139"/>
      <c r="AF1" s="139" t="s">
        <v>118</v>
      </c>
      <c r="AG1" s="139"/>
      <c r="AH1" s="139"/>
      <c r="AI1" s="139"/>
      <c r="AJ1" s="139"/>
      <c r="AK1" s="139"/>
      <c r="AL1" s="139" t="s">
        <v>119</v>
      </c>
      <c r="AM1" s="139"/>
      <c r="AN1" s="139"/>
      <c r="AO1" s="139"/>
      <c r="AP1" s="139"/>
      <c r="AQ1" s="139"/>
      <c r="AR1" s="139" t="s">
        <v>120</v>
      </c>
      <c r="AS1" s="139"/>
      <c r="AT1" s="139"/>
      <c r="AU1" s="139"/>
      <c r="AV1" s="139"/>
      <c r="AW1" s="139"/>
      <c r="AX1" s="139" t="s">
        <v>121</v>
      </c>
      <c r="AY1" s="139"/>
      <c r="AZ1" s="139"/>
      <c r="BA1" s="139"/>
      <c r="BB1" s="139"/>
      <c r="BC1" s="139"/>
      <c r="BD1" s="139" t="s">
        <v>122</v>
      </c>
      <c r="BE1" s="139"/>
      <c r="BF1" s="139"/>
      <c r="BG1" s="139"/>
      <c r="BH1" s="139"/>
      <c r="BI1" s="139"/>
      <c r="BJ1" s="139" t="s">
        <v>123</v>
      </c>
      <c r="BK1" s="139"/>
      <c r="BL1" s="139"/>
      <c r="BM1" s="139"/>
      <c r="BN1" s="139"/>
      <c r="BO1" s="139"/>
      <c r="BP1" s="139" t="s">
        <v>124</v>
      </c>
      <c r="BQ1" s="139"/>
      <c r="BR1" s="139"/>
      <c r="BS1" s="139"/>
      <c r="BT1" s="139"/>
      <c r="BU1" s="139"/>
      <c r="BV1" s="139" t="s">
        <v>125</v>
      </c>
      <c r="BW1" s="139"/>
      <c r="BX1" s="139"/>
      <c r="BY1" s="139"/>
      <c r="BZ1" s="139"/>
      <c r="CA1" s="139"/>
      <c r="CB1" s="139" t="s">
        <v>126</v>
      </c>
      <c r="CC1" s="139"/>
      <c r="CD1" s="139"/>
      <c r="CE1" s="139"/>
      <c r="CF1" s="139"/>
      <c r="CG1" s="139"/>
      <c r="CH1" s="139" t="s">
        <v>127</v>
      </c>
      <c r="CI1" s="139"/>
      <c r="CJ1" s="139"/>
      <c r="CK1" s="139"/>
      <c r="CL1" s="139"/>
      <c r="CM1" s="139"/>
      <c r="CN1" s="139" t="s">
        <v>128</v>
      </c>
      <c r="CO1" s="139"/>
      <c r="CP1" s="139"/>
      <c r="CQ1" s="139"/>
      <c r="CR1" s="139"/>
      <c r="CS1" s="139"/>
      <c r="CT1" s="139" t="s">
        <v>129</v>
      </c>
      <c r="CU1" s="139"/>
      <c r="CV1" s="139"/>
      <c r="CW1" s="139"/>
      <c r="CX1" s="139"/>
      <c r="CY1" s="139"/>
      <c r="CZ1" s="139" t="s">
        <v>130</v>
      </c>
      <c r="DA1" s="139"/>
      <c r="DB1" s="139"/>
      <c r="DC1" s="139"/>
      <c r="DD1" s="139"/>
      <c r="DE1" s="139"/>
      <c r="DF1" s="139" t="s">
        <v>131</v>
      </c>
      <c r="DG1" s="139"/>
      <c r="DH1" s="139"/>
      <c r="DI1" s="139"/>
      <c r="DJ1" s="139"/>
      <c r="DK1" s="139"/>
      <c r="DL1" s="139" t="s">
        <v>132</v>
      </c>
      <c r="DM1" s="139"/>
      <c r="DN1" s="139"/>
      <c r="DO1" s="139"/>
      <c r="DP1" s="139"/>
      <c r="DQ1" s="139"/>
      <c r="DR1" s="139" t="s">
        <v>158</v>
      </c>
      <c r="DS1" s="139"/>
      <c r="DT1" s="139"/>
      <c r="DU1" s="139"/>
      <c r="DV1" s="139"/>
      <c r="DW1" s="139"/>
      <c r="DX1" s="139" t="s">
        <v>169</v>
      </c>
      <c r="DY1" s="139"/>
      <c r="DZ1" s="139"/>
      <c r="EA1" s="139"/>
      <c r="EB1" s="139"/>
      <c r="EC1" s="139"/>
      <c r="ED1" s="139" t="s">
        <v>171</v>
      </c>
      <c r="EE1" s="139"/>
      <c r="EF1" s="139"/>
      <c r="EG1" s="139"/>
      <c r="EH1" s="139"/>
      <c r="EI1" s="139"/>
      <c r="EJ1" s="139" t="s">
        <v>176</v>
      </c>
      <c r="EK1" s="139"/>
      <c r="EL1" s="139"/>
      <c r="EM1" s="139"/>
      <c r="EN1" s="139"/>
      <c r="EO1" s="139"/>
      <c r="EP1" s="139" t="s">
        <v>183</v>
      </c>
      <c r="EQ1" s="139"/>
      <c r="ER1" s="139"/>
      <c r="ES1" s="139"/>
      <c r="ET1" s="139"/>
      <c r="EU1" s="139"/>
      <c r="EV1" s="139" t="s">
        <v>189</v>
      </c>
      <c r="EW1" s="139"/>
      <c r="EX1" s="139"/>
      <c r="EY1" s="139"/>
      <c r="EZ1" s="139"/>
      <c r="FA1" s="139"/>
    </row>
    <row r="2" spans="1:157" s="58" customFormat="1" x14ac:dyDescent="0.25"/>
    <row r="3" spans="1:157" s="58" customFormat="1" x14ac:dyDescent="0.25"/>
    <row r="4" spans="1:157" s="58" customFormat="1" x14ac:dyDescent="0.25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</row>
    <row r="5" spans="1:157" s="77" customFormat="1" ht="25.5" x14ac:dyDescent="0.3">
      <c r="A5" s="76"/>
      <c r="B5" s="64" t="s">
        <v>138</v>
      </c>
      <c r="C5" s="64" t="s">
        <v>137</v>
      </c>
      <c r="D5" s="64" t="s">
        <v>136</v>
      </c>
      <c r="E5" s="64" t="s">
        <v>135</v>
      </c>
      <c r="F5" s="64" t="s">
        <v>134</v>
      </c>
      <c r="G5" s="65" t="s">
        <v>133</v>
      </c>
      <c r="H5" s="64" t="s">
        <v>138</v>
      </c>
      <c r="I5" s="64" t="s">
        <v>137</v>
      </c>
      <c r="J5" s="64" t="s">
        <v>136</v>
      </c>
      <c r="K5" s="64" t="s">
        <v>135</v>
      </c>
      <c r="L5" s="64" t="s">
        <v>134</v>
      </c>
      <c r="M5" s="65" t="s">
        <v>133</v>
      </c>
      <c r="N5" s="64" t="s">
        <v>138</v>
      </c>
      <c r="O5" s="64" t="s">
        <v>137</v>
      </c>
      <c r="P5" s="64" t="s">
        <v>136</v>
      </c>
      <c r="Q5" s="64" t="s">
        <v>135</v>
      </c>
      <c r="R5" s="64" t="s">
        <v>134</v>
      </c>
      <c r="S5" s="65" t="s">
        <v>133</v>
      </c>
      <c r="T5" s="64" t="s">
        <v>138</v>
      </c>
      <c r="U5" s="64" t="s">
        <v>137</v>
      </c>
      <c r="V5" s="64" t="s">
        <v>136</v>
      </c>
      <c r="W5" s="64" t="s">
        <v>135</v>
      </c>
      <c r="X5" s="64" t="s">
        <v>134</v>
      </c>
      <c r="Y5" s="65" t="s">
        <v>133</v>
      </c>
      <c r="Z5" s="64" t="s">
        <v>138</v>
      </c>
      <c r="AA5" s="64" t="s">
        <v>137</v>
      </c>
      <c r="AB5" s="64" t="s">
        <v>136</v>
      </c>
      <c r="AC5" s="64" t="s">
        <v>135</v>
      </c>
      <c r="AD5" s="64" t="s">
        <v>134</v>
      </c>
      <c r="AE5" s="65" t="s">
        <v>133</v>
      </c>
      <c r="AF5" s="64" t="s">
        <v>138</v>
      </c>
      <c r="AG5" s="64" t="s">
        <v>137</v>
      </c>
      <c r="AH5" s="64" t="s">
        <v>136</v>
      </c>
      <c r="AI5" s="64" t="s">
        <v>135</v>
      </c>
      <c r="AJ5" s="64" t="s">
        <v>134</v>
      </c>
      <c r="AK5" s="65" t="s">
        <v>133</v>
      </c>
      <c r="AL5" s="64" t="s">
        <v>138</v>
      </c>
      <c r="AM5" s="64" t="s">
        <v>137</v>
      </c>
      <c r="AN5" s="64" t="s">
        <v>136</v>
      </c>
      <c r="AO5" s="64" t="s">
        <v>135</v>
      </c>
      <c r="AP5" s="64" t="s">
        <v>134</v>
      </c>
      <c r="AQ5" s="65" t="s">
        <v>133</v>
      </c>
      <c r="AR5" s="64" t="s">
        <v>138</v>
      </c>
      <c r="AS5" s="64" t="s">
        <v>137</v>
      </c>
      <c r="AT5" s="64" t="s">
        <v>136</v>
      </c>
      <c r="AU5" s="64" t="s">
        <v>135</v>
      </c>
      <c r="AV5" s="64" t="s">
        <v>134</v>
      </c>
      <c r="AW5" s="65" t="s">
        <v>133</v>
      </c>
      <c r="AX5" s="64" t="s">
        <v>138</v>
      </c>
      <c r="AY5" s="64" t="s">
        <v>137</v>
      </c>
      <c r="AZ5" s="64" t="s">
        <v>136</v>
      </c>
      <c r="BA5" s="64" t="s">
        <v>135</v>
      </c>
      <c r="BB5" s="64" t="s">
        <v>134</v>
      </c>
      <c r="BC5" s="65" t="s">
        <v>133</v>
      </c>
      <c r="BD5" s="64" t="s">
        <v>138</v>
      </c>
      <c r="BE5" s="64" t="s">
        <v>137</v>
      </c>
      <c r="BF5" s="64" t="s">
        <v>136</v>
      </c>
      <c r="BG5" s="64" t="s">
        <v>135</v>
      </c>
      <c r="BH5" s="64" t="s">
        <v>134</v>
      </c>
      <c r="BI5" s="65" t="s">
        <v>133</v>
      </c>
      <c r="BJ5" s="64" t="s">
        <v>138</v>
      </c>
      <c r="BK5" s="64" t="s">
        <v>137</v>
      </c>
      <c r="BL5" s="64" t="s">
        <v>136</v>
      </c>
      <c r="BM5" s="64" t="s">
        <v>135</v>
      </c>
      <c r="BN5" s="64" t="s">
        <v>134</v>
      </c>
      <c r="BO5" s="65" t="s">
        <v>133</v>
      </c>
      <c r="BP5" s="64" t="s">
        <v>138</v>
      </c>
      <c r="BQ5" s="64" t="s">
        <v>137</v>
      </c>
      <c r="BR5" s="64" t="s">
        <v>136</v>
      </c>
      <c r="BS5" s="64" t="s">
        <v>135</v>
      </c>
      <c r="BT5" s="64" t="s">
        <v>134</v>
      </c>
      <c r="BU5" s="65" t="s">
        <v>133</v>
      </c>
      <c r="BV5" s="64" t="s">
        <v>138</v>
      </c>
      <c r="BW5" s="64" t="s">
        <v>137</v>
      </c>
      <c r="BX5" s="64" t="s">
        <v>136</v>
      </c>
      <c r="BY5" s="64" t="s">
        <v>135</v>
      </c>
      <c r="BZ5" s="64" t="s">
        <v>134</v>
      </c>
      <c r="CA5" s="65" t="s">
        <v>133</v>
      </c>
      <c r="CB5" s="64" t="s">
        <v>138</v>
      </c>
      <c r="CC5" s="64" t="s">
        <v>137</v>
      </c>
      <c r="CD5" s="64" t="s">
        <v>136</v>
      </c>
      <c r="CE5" s="64" t="s">
        <v>135</v>
      </c>
      <c r="CF5" s="64" t="s">
        <v>134</v>
      </c>
      <c r="CG5" s="65" t="s">
        <v>133</v>
      </c>
      <c r="CH5" s="64" t="s">
        <v>138</v>
      </c>
      <c r="CI5" s="64" t="s">
        <v>137</v>
      </c>
      <c r="CJ5" s="64" t="s">
        <v>136</v>
      </c>
      <c r="CK5" s="64" t="s">
        <v>135</v>
      </c>
      <c r="CL5" s="64" t="s">
        <v>134</v>
      </c>
      <c r="CM5" s="65" t="s">
        <v>133</v>
      </c>
      <c r="CN5" s="64" t="s">
        <v>138</v>
      </c>
      <c r="CO5" s="64" t="s">
        <v>137</v>
      </c>
      <c r="CP5" s="64" t="s">
        <v>136</v>
      </c>
      <c r="CQ5" s="64" t="s">
        <v>135</v>
      </c>
      <c r="CR5" s="64" t="s">
        <v>134</v>
      </c>
      <c r="CS5" s="65" t="s">
        <v>133</v>
      </c>
      <c r="CT5" s="64" t="s">
        <v>138</v>
      </c>
      <c r="CU5" s="64" t="s">
        <v>137</v>
      </c>
      <c r="CV5" s="64" t="s">
        <v>136</v>
      </c>
      <c r="CW5" s="64" t="s">
        <v>135</v>
      </c>
      <c r="CX5" s="64" t="s">
        <v>134</v>
      </c>
      <c r="CY5" s="65" t="s">
        <v>133</v>
      </c>
      <c r="CZ5" s="64" t="s">
        <v>138</v>
      </c>
      <c r="DA5" s="64" t="s">
        <v>137</v>
      </c>
      <c r="DB5" s="64" t="s">
        <v>136</v>
      </c>
      <c r="DC5" s="64" t="s">
        <v>135</v>
      </c>
      <c r="DD5" s="64" t="s">
        <v>134</v>
      </c>
      <c r="DE5" s="65" t="s">
        <v>133</v>
      </c>
      <c r="DF5" s="64" t="s">
        <v>138</v>
      </c>
      <c r="DG5" s="64" t="s">
        <v>137</v>
      </c>
      <c r="DH5" s="64" t="s">
        <v>136</v>
      </c>
      <c r="DI5" s="64" t="s">
        <v>135</v>
      </c>
      <c r="DJ5" s="64" t="s">
        <v>134</v>
      </c>
      <c r="DK5" s="65" t="s">
        <v>133</v>
      </c>
      <c r="DL5" s="64" t="s">
        <v>138</v>
      </c>
      <c r="DM5" s="64" t="s">
        <v>137</v>
      </c>
      <c r="DN5" s="64" t="s">
        <v>136</v>
      </c>
      <c r="DO5" s="64" t="s">
        <v>135</v>
      </c>
      <c r="DP5" s="64" t="s">
        <v>134</v>
      </c>
      <c r="DQ5" s="65" t="s">
        <v>133</v>
      </c>
      <c r="DR5" s="64" t="s">
        <v>138</v>
      </c>
      <c r="DS5" s="64" t="s">
        <v>137</v>
      </c>
      <c r="DT5" s="64" t="s">
        <v>136</v>
      </c>
      <c r="DU5" s="64" t="s">
        <v>135</v>
      </c>
      <c r="DV5" s="64" t="s">
        <v>134</v>
      </c>
      <c r="DW5" s="65" t="s">
        <v>133</v>
      </c>
      <c r="DX5" s="64" t="s">
        <v>138</v>
      </c>
      <c r="DY5" s="64" t="s">
        <v>137</v>
      </c>
      <c r="DZ5" s="64" t="s">
        <v>136</v>
      </c>
      <c r="EA5" s="64" t="s">
        <v>135</v>
      </c>
      <c r="EB5" s="64" t="s">
        <v>134</v>
      </c>
      <c r="EC5" s="65" t="s">
        <v>133</v>
      </c>
      <c r="ED5" s="64" t="s">
        <v>138</v>
      </c>
      <c r="EE5" s="64" t="s">
        <v>137</v>
      </c>
      <c r="EF5" s="64" t="s">
        <v>136</v>
      </c>
      <c r="EG5" s="64" t="s">
        <v>135</v>
      </c>
      <c r="EH5" s="64" t="s">
        <v>134</v>
      </c>
      <c r="EI5" s="65" t="s">
        <v>133</v>
      </c>
      <c r="EJ5" s="64" t="s">
        <v>138</v>
      </c>
      <c r="EK5" s="64" t="s">
        <v>137</v>
      </c>
      <c r="EL5" s="64" t="s">
        <v>136</v>
      </c>
      <c r="EM5" s="64" t="s">
        <v>135</v>
      </c>
      <c r="EN5" s="64" t="s">
        <v>134</v>
      </c>
      <c r="EO5" s="65" t="s">
        <v>133</v>
      </c>
      <c r="EP5" s="64" t="s">
        <v>138</v>
      </c>
      <c r="EQ5" s="64" t="s">
        <v>137</v>
      </c>
      <c r="ER5" s="64" t="s">
        <v>136</v>
      </c>
      <c r="ES5" s="64" t="s">
        <v>135</v>
      </c>
      <c r="ET5" s="64" t="s">
        <v>134</v>
      </c>
      <c r="EU5" s="65" t="s">
        <v>133</v>
      </c>
      <c r="EV5" s="64" t="s">
        <v>138</v>
      </c>
      <c r="EW5" s="64" t="s">
        <v>137</v>
      </c>
      <c r="EX5" s="64" t="s">
        <v>136</v>
      </c>
      <c r="EY5" s="64" t="s">
        <v>135</v>
      </c>
      <c r="EZ5" s="64" t="s">
        <v>134</v>
      </c>
      <c r="FA5" s="65" t="s">
        <v>133</v>
      </c>
    </row>
    <row r="6" spans="1:157" s="80" customFormat="1" ht="16.5" x14ac:dyDescent="0.3">
      <c r="A6" s="78" t="s">
        <v>54</v>
      </c>
      <c r="B6" s="79">
        <f>'Sectoral Constraints Fig 2-3 AR'!B6</f>
        <v>0</v>
      </c>
      <c r="C6" s="79">
        <f>'Sectoral Constraints Fig 2-3 AR'!C6</f>
        <v>0</v>
      </c>
      <c r="D6" s="79">
        <f>'Sectoral Constraints Fig 2-3 AR'!D6</f>
        <v>0</v>
      </c>
      <c r="E6" s="79">
        <f>'Sectoral Constraints Fig 2-3 AR'!E6</f>
        <v>0</v>
      </c>
      <c r="F6" s="79">
        <f>'Sectoral Constraints Fig 2-3 AR'!F6</f>
        <v>0</v>
      </c>
      <c r="G6" s="79">
        <f>'Sectoral Constraints Fig 2-3 AR'!G6</f>
        <v>0</v>
      </c>
      <c r="H6" s="79">
        <f>'Sectoral Constraints Fig 2-3 AR'!H6</f>
        <v>0</v>
      </c>
      <c r="I6" s="79">
        <f>'Sectoral Constraints Fig 2-3 AR'!I6</f>
        <v>0</v>
      </c>
      <c r="J6" s="79">
        <f>'Sectoral Constraints Fig 2-3 AR'!J6</f>
        <v>0</v>
      </c>
      <c r="K6" s="79">
        <f>'Sectoral Constraints Fig 2-3 AR'!K6</f>
        <v>0</v>
      </c>
      <c r="L6" s="79">
        <f>'Sectoral Constraints Fig 2-3 AR'!L6</f>
        <v>0</v>
      </c>
      <c r="M6" s="79">
        <f>'Sectoral Constraints Fig 2-3 AR'!M6</f>
        <v>0</v>
      </c>
      <c r="N6" s="79">
        <f>'Sectoral Constraints Fig 2-3 AR'!N6</f>
        <v>0</v>
      </c>
      <c r="O6" s="79">
        <f>'Sectoral Constraints Fig 2-3 AR'!O6</f>
        <v>0</v>
      </c>
      <c r="P6" s="79">
        <f>'Sectoral Constraints Fig 2-3 AR'!P6</f>
        <v>0</v>
      </c>
      <c r="Q6" s="79">
        <f>'Sectoral Constraints Fig 2-3 AR'!Q6</f>
        <v>0</v>
      </c>
      <c r="R6" s="79">
        <f>'Sectoral Constraints Fig 2-3 AR'!R6</f>
        <v>0</v>
      </c>
      <c r="S6" s="79">
        <f>'Sectoral Constraints Fig 2-3 AR'!S6</f>
        <v>0</v>
      </c>
      <c r="T6" s="79">
        <f>'Sectoral Constraints Fig 2-3 AR'!T6</f>
        <v>0</v>
      </c>
      <c r="U6" s="79">
        <f>'Sectoral Constraints Fig 2-3 AR'!U6</f>
        <v>0</v>
      </c>
      <c r="V6" s="79">
        <f>'Sectoral Constraints Fig 2-3 AR'!V6</f>
        <v>0</v>
      </c>
      <c r="W6" s="79">
        <f>'Sectoral Constraints Fig 2-3 AR'!W6</f>
        <v>0</v>
      </c>
      <c r="X6" s="79">
        <f>'Sectoral Constraints Fig 2-3 AR'!X6</f>
        <v>0</v>
      </c>
      <c r="Y6" s="79">
        <f>'Sectoral Constraints Fig 2-3 AR'!Y6</f>
        <v>0</v>
      </c>
      <c r="Z6" s="79">
        <f>'Sectoral Constraints Fig 2-3 AR'!Z6</f>
        <v>0</v>
      </c>
      <c r="AA6" s="79">
        <f>'Sectoral Constraints Fig 2-3 AR'!AA6</f>
        <v>0</v>
      </c>
      <c r="AB6" s="79">
        <f>'Sectoral Constraints Fig 2-3 AR'!AB6</f>
        <v>0</v>
      </c>
      <c r="AC6" s="79">
        <f>'Sectoral Constraints Fig 2-3 AR'!AC6</f>
        <v>0</v>
      </c>
      <c r="AD6" s="79">
        <f>'Sectoral Constraints Fig 2-3 AR'!AD6</f>
        <v>0</v>
      </c>
      <c r="AE6" s="79">
        <f>'Sectoral Constraints Fig 2-3 AR'!AE6</f>
        <v>0</v>
      </c>
      <c r="AF6" s="79">
        <f>'Sectoral Constraints Fig 2-3 AR'!AF6</f>
        <v>0</v>
      </c>
      <c r="AG6" s="79">
        <f>'Sectoral Constraints Fig 2-3 AR'!AG6</f>
        <v>0</v>
      </c>
      <c r="AH6" s="79">
        <f>'Sectoral Constraints Fig 2-3 AR'!AH6</f>
        <v>0</v>
      </c>
      <c r="AI6" s="79">
        <f>'Sectoral Constraints Fig 2-3 AR'!AI6</f>
        <v>0</v>
      </c>
      <c r="AJ6" s="79">
        <f>'Sectoral Constraints Fig 2-3 AR'!AJ6</f>
        <v>0</v>
      </c>
      <c r="AK6" s="79">
        <f>'Sectoral Constraints Fig 2-3 AR'!AK6</f>
        <v>0</v>
      </c>
      <c r="AL6" s="79">
        <f>'Sectoral Constraints Fig 2-3 AR'!AL6</f>
        <v>0</v>
      </c>
      <c r="AM6" s="79">
        <f>'Sectoral Constraints Fig 2-3 AR'!AM6</f>
        <v>0</v>
      </c>
      <c r="AN6" s="79">
        <f>'Sectoral Constraints Fig 2-3 AR'!AN6</f>
        <v>0</v>
      </c>
      <c r="AO6" s="79">
        <f>'Sectoral Constraints Fig 2-3 AR'!AO6</f>
        <v>0</v>
      </c>
      <c r="AP6" s="79">
        <f>'Sectoral Constraints Fig 2-3 AR'!AP6</f>
        <v>0</v>
      </c>
      <c r="AQ6" s="79">
        <f>'Sectoral Constraints Fig 2-3 AR'!AQ6</f>
        <v>0</v>
      </c>
      <c r="AR6" s="79">
        <f>'Sectoral Constraints Fig 2-3 AR'!AR6</f>
        <v>0</v>
      </c>
      <c r="AS6" s="79">
        <f>'Sectoral Constraints Fig 2-3 AR'!AS6</f>
        <v>0</v>
      </c>
      <c r="AT6" s="79">
        <f>'Sectoral Constraints Fig 2-3 AR'!AT6</f>
        <v>0</v>
      </c>
      <c r="AU6" s="79">
        <f>'Sectoral Constraints Fig 2-3 AR'!AU6</f>
        <v>0</v>
      </c>
      <c r="AV6" s="79">
        <f>'Sectoral Constraints Fig 2-3 AR'!AV6</f>
        <v>0</v>
      </c>
      <c r="AW6" s="79">
        <f>'Sectoral Constraints Fig 2-3 AR'!AW6</f>
        <v>0</v>
      </c>
      <c r="AX6" s="79">
        <f>'Sectoral Constraints Fig 2-3 AR'!AX6</f>
        <v>0</v>
      </c>
      <c r="AY6" s="79">
        <f>'Sectoral Constraints Fig 2-3 AR'!AY6</f>
        <v>0</v>
      </c>
      <c r="AZ6" s="79">
        <f>'Sectoral Constraints Fig 2-3 AR'!AZ6</f>
        <v>0</v>
      </c>
      <c r="BA6" s="79">
        <f>'Sectoral Constraints Fig 2-3 AR'!BA6</f>
        <v>0</v>
      </c>
      <c r="BB6" s="79">
        <f>'Sectoral Constraints Fig 2-3 AR'!BB6</f>
        <v>0</v>
      </c>
      <c r="BC6" s="79">
        <f>'Sectoral Constraints Fig 2-3 AR'!BC6</f>
        <v>0</v>
      </c>
      <c r="BD6" s="79">
        <f>'Sectoral Constraints Fig 2-3 AR'!BD6</f>
        <v>0</v>
      </c>
      <c r="BE6" s="79">
        <f>'Sectoral Constraints Fig 2-3 AR'!BE6</f>
        <v>0</v>
      </c>
      <c r="BF6" s="79">
        <f>'Sectoral Constraints Fig 2-3 AR'!BF6</f>
        <v>0</v>
      </c>
      <c r="BG6" s="79">
        <f>'Sectoral Constraints Fig 2-3 AR'!BG6</f>
        <v>0</v>
      </c>
      <c r="BH6" s="79">
        <f>'Sectoral Constraints Fig 2-3 AR'!BH6</f>
        <v>0</v>
      </c>
      <c r="BI6" s="79">
        <f>'Sectoral Constraints Fig 2-3 AR'!BI6</f>
        <v>0</v>
      </c>
      <c r="BJ6" s="79">
        <f>'Sectoral Constraints Fig 2-3 AR'!BJ6</f>
        <v>0</v>
      </c>
      <c r="BK6" s="79">
        <f>'Sectoral Constraints Fig 2-3 AR'!BK6</f>
        <v>0</v>
      </c>
      <c r="BL6" s="79">
        <f>'Sectoral Constraints Fig 2-3 AR'!BL6</f>
        <v>0</v>
      </c>
      <c r="BM6" s="79">
        <f>'Sectoral Constraints Fig 2-3 AR'!BM6</f>
        <v>0</v>
      </c>
      <c r="BN6" s="79">
        <f>'Sectoral Constraints Fig 2-3 AR'!BN6</f>
        <v>0</v>
      </c>
      <c r="BO6" s="79">
        <f>'Sectoral Constraints Fig 2-3 AR'!BO6</f>
        <v>0</v>
      </c>
      <c r="BP6" s="79">
        <f>'Sectoral Constraints Fig 2-3 AR'!BP6</f>
        <v>0</v>
      </c>
      <c r="BQ6" s="79">
        <f>'Sectoral Constraints Fig 2-3 AR'!BQ6</f>
        <v>0</v>
      </c>
      <c r="BR6" s="79">
        <f>'Sectoral Constraints Fig 2-3 AR'!BR6</f>
        <v>0</v>
      </c>
      <c r="BS6" s="79">
        <f>'Sectoral Constraints Fig 2-3 AR'!BS6</f>
        <v>0</v>
      </c>
      <c r="BT6" s="79">
        <f>'Sectoral Constraints Fig 2-3 AR'!BT6</f>
        <v>0</v>
      </c>
      <c r="BU6" s="79">
        <f>'Sectoral Constraints Fig 2-3 AR'!BU6</f>
        <v>0</v>
      </c>
      <c r="BV6" s="79">
        <f>'Sectoral Constraints Fig 2-3 AR'!BV6</f>
        <v>0</v>
      </c>
      <c r="BW6" s="79">
        <f>'Sectoral Constraints Fig 2-3 AR'!BW6</f>
        <v>0</v>
      </c>
      <c r="BX6" s="79">
        <f>'Sectoral Constraints Fig 2-3 AR'!BX6</f>
        <v>0</v>
      </c>
      <c r="BY6" s="79">
        <f>'Sectoral Constraints Fig 2-3 AR'!BY6</f>
        <v>0</v>
      </c>
      <c r="BZ6" s="79">
        <f>'Sectoral Constraints Fig 2-3 AR'!BZ6</f>
        <v>0</v>
      </c>
      <c r="CA6" s="79">
        <f>'Sectoral Constraints Fig 2-3 AR'!CA6</f>
        <v>0</v>
      </c>
      <c r="CB6" s="79">
        <f>'Sectoral Constraints Fig 2-3 AR'!CB6</f>
        <v>0</v>
      </c>
      <c r="CC6" s="79">
        <f>'Sectoral Constraints Fig 2-3 AR'!CC6</f>
        <v>0</v>
      </c>
      <c r="CD6" s="79">
        <f>'Sectoral Constraints Fig 2-3 AR'!CD6</f>
        <v>0</v>
      </c>
      <c r="CE6" s="79">
        <f>'Sectoral Constraints Fig 2-3 AR'!CE6</f>
        <v>0</v>
      </c>
      <c r="CF6" s="79">
        <f>'Sectoral Constraints Fig 2-3 AR'!CF6</f>
        <v>0</v>
      </c>
      <c r="CG6" s="79">
        <f>'Sectoral Constraints Fig 2-3 AR'!CG6</f>
        <v>0</v>
      </c>
      <c r="CH6" s="79">
        <f>'Sectoral Constraints Fig 2-3 AR'!CH6</f>
        <v>0</v>
      </c>
      <c r="CI6" s="79">
        <f>'Sectoral Constraints Fig 2-3 AR'!CI6</f>
        <v>0</v>
      </c>
      <c r="CJ6" s="79">
        <f>'Sectoral Constraints Fig 2-3 AR'!CJ6</f>
        <v>0</v>
      </c>
      <c r="CK6" s="79">
        <f>'Sectoral Constraints Fig 2-3 AR'!CK6</f>
        <v>0</v>
      </c>
      <c r="CL6" s="79">
        <f>'Sectoral Constraints Fig 2-3 AR'!CL6</f>
        <v>0</v>
      </c>
      <c r="CM6" s="79">
        <f>'Sectoral Constraints Fig 2-3 AR'!CM6</f>
        <v>0</v>
      </c>
      <c r="CN6" s="79">
        <f>'Sectoral Constraints Fig 2-3 AR'!CN6</f>
        <v>0</v>
      </c>
      <c r="CO6" s="79">
        <f>'Sectoral Constraints Fig 2-3 AR'!CO6</f>
        <v>0</v>
      </c>
      <c r="CP6" s="79">
        <f>'Sectoral Constraints Fig 2-3 AR'!CP6</f>
        <v>0</v>
      </c>
      <c r="CQ6" s="79">
        <f>'Sectoral Constraints Fig 2-3 AR'!CQ6</f>
        <v>0</v>
      </c>
      <c r="CR6" s="79">
        <f>'Sectoral Constraints Fig 2-3 AR'!CR6</f>
        <v>0</v>
      </c>
      <c r="CS6" s="79">
        <f>'Sectoral Constraints Fig 2-3 AR'!CS6</f>
        <v>0</v>
      </c>
      <c r="CT6" s="79">
        <f>'Sectoral Constraints Fig 2-3 AR'!CT6</f>
        <v>0</v>
      </c>
      <c r="CU6" s="79">
        <f>'Sectoral Constraints Fig 2-3 AR'!CU6</f>
        <v>0</v>
      </c>
      <c r="CV6" s="79">
        <f>'Sectoral Constraints Fig 2-3 AR'!CV6</f>
        <v>0</v>
      </c>
      <c r="CW6" s="79">
        <f>'Sectoral Constraints Fig 2-3 AR'!CW6</f>
        <v>0</v>
      </c>
      <c r="CX6" s="79">
        <f>'Sectoral Constraints Fig 2-3 AR'!CX6</f>
        <v>0</v>
      </c>
      <c r="CY6" s="79">
        <f>'Sectoral Constraints Fig 2-3 AR'!CY6</f>
        <v>0</v>
      </c>
      <c r="CZ6" s="79">
        <f>'Sectoral Constraints Fig 2-3 AR'!CZ6</f>
        <v>0</v>
      </c>
      <c r="DA6" s="79">
        <f>'Sectoral Constraints Fig 2-3 AR'!DA6</f>
        <v>0</v>
      </c>
      <c r="DB6" s="79">
        <f>'Sectoral Constraints Fig 2-3 AR'!DB6</f>
        <v>0</v>
      </c>
      <c r="DC6" s="79">
        <f>'Sectoral Constraints Fig 2-3 AR'!DC6</f>
        <v>0</v>
      </c>
      <c r="DD6" s="79">
        <f>'Sectoral Constraints Fig 2-3 AR'!DD6</f>
        <v>0</v>
      </c>
      <c r="DE6" s="79">
        <f>'Sectoral Constraints Fig 2-3 AR'!DE6</f>
        <v>0</v>
      </c>
      <c r="DF6" s="79">
        <f>'Sectoral Constraints Fig 2-3 AR'!DF6</f>
        <v>100</v>
      </c>
      <c r="DG6" s="79">
        <f>'Sectoral Constraints Fig 2-3 AR'!DG6</f>
        <v>100</v>
      </c>
      <c r="DH6" s="79">
        <f>'Sectoral Constraints Fig 2-3 AR'!DH6</f>
        <v>43</v>
      </c>
      <c r="DI6" s="79">
        <f>'Sectoral Constraints Fig 2-3 AR'!DI6</f>
        <v>100</v>
      </c>
      <c r="DJ6" s="79">
        <f>'Sectoral Constraints Fig 2-3 AR'!DJ6</f>
        <v>55</v>
      </c>
      <c r="DK6" s="79">
        <f>'Sectoral Constraints Fig 2-3 AR'!DK6</f>
        <v>40</v>
      </c>
      <c r="DL6" s="79">
        <f>'Sectoral Constraints Fig 2-3 AR'!DL6</f>
        <v>100</v>
      </c>
      <c r="DM6" s="79">
        <f>'Sectoral Constraints Fig 2-3 AR'!DM6</f>
        <v>100</v>
      </c>
      <c r="DN6" s="79">
        <f>'Sectoral Constraints Fig 2-3 AR'!DN6</f>
        <v>100</v>
      </c>
      <c r="DO6" s="79">
        <f>'Sectoral Constraints Fig 2-3 AR'!DO6</f>
        <v>100</v>
      </c>
      <c r="DP6" s="79">
        <f>'Sectoral Constraints Fig 2-3 AR'!DP6</f>
        <v>72.727272727272734</v>
      </c>
      <c r="DQ6" s="79" t="str">
        <f>'Sectoral Constraints Fig 2-3 AR'!DQ6</f>
        <v>-</v>
      </c>
      <c r="DR6" s="79">
        <f>'Sectoral Constraints Fig 2-3 AR'!DR6</f>
        <v>100</v>
      </c>
      <c r="DS6" s="79">
        <f>'Sectoral Constraints Fig 2-3 AR'!DS6</f>
        <v>100</v>
      </c>
      <c r="DT6" s="79">
        <f>'Sectoral Constraints Fig 2-3 AR'!DT6</f>
        <v>100</v>
      </c>
      <c r="DU6" s="79" t="str">
        <f>'Sectoral Constraints Fig 2-3 AR'!DU6</f>
        <v>-</v>
      </c>
      <c r="DV6" s="79">
        <f>'Sectoral Constraints Fig 2-3 AR'!DV6</f>
        <v>100</v>
      </c>
      <c r="DW6" s="79" t="str">
        <f>'Sectoral Constraints Fig 2-3 AR'!DW6</f>
        <v>-</v>
      </c>
      <c r="DX6" s="79">
        <v>90.624999999999972</v>
      </c>
      <c r="DY6" s="79">
        <v>100</v>
      </c>
      <c r="DZ6" s="79">
        <v>60</v>
      </c>
      <c r="EA6" s="79" t="s">
        <v>172</v>
      </c>
      <c r="EB6" s="100">
        <v>46.428571428571431</v>
      </c>
      <c r="EC6" s="79" t="s">
        <v>172</v>
      </c>
      <c r="ED6" s="100">
        <v>98.68995633187771</v>
      </c>
      <c r="EE6" s="100">
        <v>96.428571428571416</v>
      </c>
      <c r="EF6" s="100">
        <v>75</v>
      </c>
      <c r="EG6" s="100">
        <v>0</v>
      </c>
      <c r="EH6" s="100">
        <v>81.25</v>
      </c>
      <c r="EI6" s="100">
        <v>0</v>
      </c>
      <c r="EJ6" s="100">
        <v>98.23788546255507</v>
      </c>
      <c r="EK6" s="100">
        <v>88.888888888888886</v>
      </c>
      <c r="EL6" s="100">
        <v>100</v>
      </c>
      <c r="EM6" s="100">
        <v>92.857142857142847</v>
      </c>
      <c r="EN6" s="100">
        <v>81.25</v>
      </c>
      <c r="EO6" s="100">
        <v>1.7857142857142856</v>
      </c>
      <c r="EP6" s="100">
        <v>99</v>
      </c>
      <c r="EQ6" s="100">
        <v>100</v>
      </c>
      <c r="ER6" s="100">
        <v>82</v>
      </c>
      <c r="ES6" s="100">
        <v>96</v>
      </c>
      <c r="ET6" s="100">
        <v>84</v>
      </c>
      <c r="EU6" s="100">
        <v>0</v>
      </c>
      <c r="EV6" s="100">
        <v>96.888888888888886</v>
      </c>
      <c r="EW6" s="100">
        <v>96.296296296296319</v>
      </c>
      <c r="EX6" s="100">
        <v>62.857142857142854</v>
      </c>
      <c r="EY6" s="100">
        <v>89.130434782608674</v>
      </c>
      <c r="EZ6" s="100">
        <v>60.714285714285708</v>
      </c>
      <c r="FA6" s="100">
        <v>0</v>
      </c>
    </row>
    <row r="7" spans="1:157" s="80" customFormat="1" ht="16.5" x14ac:dyDescent="0.3">
      <c r="A7" s="78" t="s">
        <v>55</v>
      </c>
      <c r="B7" s="79">
        <f>'Sectoral Constraints Fig 2-3 AR'!B7</f>
        <v>0</v>
      </c>
      <c r="C7" s="79">
        <f>'Sectoral Constraints Fig 2-3 AR'!C7</f>
        <v>0</v>
      </c>
      <c r="D7" s="79">
        <f>'Sectoral Constraints Fig 2-3 AR'!D7</f>
        <v>0</v>
      </c>
      <c r="E7" s="79">
        <f>'Sectoral Constraints Fig 2-3 AR'!E7</f>
        <v>0</v>
      </c>
      <c r="F7" s="79">
        <f>'Sectoral Constraints Fig 2-3 AR'!F7</f>
        <v>0</v>
      </c>
      <c r="G7" s="79">
        <f>'Sectoral Constraints Fig 2-3 AR'!G7</f>
        <v>0</v>
      </c>
      <c r="H7" s="79">
        <f>'Sectoral Constraints Fig 2-3 AR'!H7</f>
        <v>0</v>
      </c>
      <c r="I7" s="79">
        <f>'Sectoral Constraints Fig 2-3 AR'!I7</f>
        <v>0</v>
      </c>
      <c r="J7" s="79">
        <f>'Sectoral Constraints Fig 2-3 AR'!J7</f>
        <v>0</v>
      </c>
      <c r="K7" s="79">
        <f>'Sectoral Constraints Fig 2-3 AR'!K7</f>
        <v>0</v>
      </c>
      <c r="L7" s="79">
        <f>'Sectoral Constraints Fig 2-3 AR'!L7</f>
        <v>0</v>
      </c>
      <c r="M7" s="79">
        <f>'Sectoral Constraints Fig 2-3 AR'!M7</f>
        <v>0</v>
      </c>
      <c r="N7" s="79">
        <f>'Sectoral Constraints Fig 2-3 AR'!N7</f>
        <v>0</v>
      </c>
      <c r="O7" s="79">
        <f>'Sectoral Constraints Fig 2-3 AR'!O7</f>
        <v>0</v>
      </c>
      <c r="P7" s="79">
        <f>'Sectoral Constraints Fig 2-3 AR'!P7</f>
        <v>0</v>
      </c>
      <c r="Q7" s="79">
        <f>'Sectoral Constraints Fig 2-3 AR'!Q7</f>
        <v>0</v>
      </c>
      <c r="R7" s="79">
        <f>'Sectoral Constraints Fig 2-3 AR'!R7</f>
        <v>0</v>
      </c>
      <c r="S7" s="79">
        <f>'Sectoral Constraints Fig 2-3 AR'!S7</f>
        <v>0</v>
      </c>
      <c r="T7" s="79">
        <f>'Sectoral Constraints Fig 2-3 AR'!T7</f>
        <v>0</v>
      </c>
      <c r="U7" s="79">
        <f>'Sectoral Constraints Fig 2-3 AR'!U7</f>
        <v>0</v>
      </c>
      <c r="V7" s="79">
        <f>'Sectoral Constraints Fig 2-3 AR'!V7</f>
        <v>0</v>
      </c>
      <c r="W7" s="79">
        <f>'Sectoral Constraints Fig 2-3 AR'!W7</f>
        <v>0</v>
      </c>
      <c r="X7" s="79">
        <f>'Sectoral Constraints Fig 2-3 AR'!X7</f>
        <v>0</v>
      </c>
      <c r="Y7" s="79">
        <f>'Sectoral Constraints Fig 2-3 AR'!Y7</f>
        <v>0</v>
      </c>
      <c r="Z7" s="79">
        <f>'Sectoral Constraints Fig 2-3 AR'!Z7</f>
        <v>0</v>
      </c>
      <c r="AA7" s="79">
        <f>'Sectoral Constraints Fig 2-3 AR'!AA7</f>
        <v>0</v>
      </c>
      <c r="AB7" s="79">
        <f>'Sectoral Constraints Fig 2-3 AR'!AB7</f>
        <v>0</v>
      </c>
      <c r="AC7" s="79">
        <f>'Sectoral Constraints Fig 2-3 AR'!AC7</f>
        <v>0</v>
      </c>
      <c r="AD7" s="79">
        <f>'Sectoral Constraints Fig 2-3 AR'!AD7</f>
        <v>0</v>
      </c>
      <c r="AE7" s="79">
        <f>'Sectoral Constraints Fig 2-3 AR'!AE7</f>
        <v>0</v>
      </c>
      <c r="AF7" s="79">
        <f>'Sectoral Constraints Fig 2-3 AR'!AF7</f>
        <v>0</v>
      </c>
      <c r="AG7" s="79">
        <f>'Sectoral Constraints Fig 2-3 AR'!AG7</f>
        <v>0</v>
      </c>
      <c r="AH7" s="79">
        <f>'Sectoral Constraints Fig 2-3 AR'!AH7</f>
        <v>0</v>
      </c>
      <c r="AI7" s="79">
        <f>'Sectoral Constraints Fig 2-3 AR'!AI7</f>
        <v>0</v>
      </c>
      <c r="AJ7" s="79">
        <f>'Sectoral Constraints Fig 2-3 AR'!AJ7</f>
        <v>0</v>
      </c>
      <c r="AK7" s="79">
        <f>'Sectoral Constraints Fig 2-3 AR'!AK7</f>
        <v>0</v>
      </c>
      <c r="AL7" s="79">
        <f>'Sectoral Constraints Fig 2-3 AR'!AL7</f>
        <v>0</v>
      </c>
      <c r="AM7" s="79">
        <f>'Sectoral Constraints Fig 2-3 AR'!AM7</f>
        <v>0</v>
      </c>
      <c r="AN7" s="79">
        <f>'Sectoral Constraints Fig 2-3 AR'!AN7</f>
        <v>0</v>
      </c>
      <c r="AO7" s="79">
        <f>'Sectoral Constraints Fig 2-3 AR'!AO7</f>
        <v>0</v>
      </c>
      <c r="AP7" s="79">
        <f>'Sectoral Constraints Fig 2-3 AR'!AP7</f>
        <v>0</v>
      </c>
      <c r="AQ7" s="79">
        <f>'Sectoral Constraints Fig 2-3 AR'!AQ7</f>
        <v>0</v>
      </c>
      <c r="AR7" s="79">
        <f>'Sectoral Constraints Fig 2-3 AR'!AR7</f>
        <v>0</v>
      </c>
      <c r="AS7" s="79">
        <f>'Sectoral Constraints Fig 2-3 AR'!AS7</f>
        <v>0</v>
      </c>
      <c r="AT7" s="79">
        <f>'Sectoral Constraints Fig 2-3 AR'!AT7</f>
        <v>0</v>
      </c>
      <c r="AU7" s="79">
        <f>'Sectoral Constraints Fig 2-3 AR'!AU7</f>
        <v>0</v>
      </c>
      <c r="AV7" s="79">
        <f>'Sectoral Constraints Fig 2-3 AR'!AV7</f>
        <v>0</v>
      </c>
      <c r="AW7" s="79">
        <f>'Sectoral Constraints Fig 2-3 AR'!AW7</f>
        <v>0</v>
      </c>
      <c r="AX7" s="79">
        <f>'Sectoral Constraints Fig 2-3 AR'!AX7</f>
        <v>0</v>
      </c>
      <c r="AY7" s="79">
        <f>'Sectoral Constraints Fig 2-3 AR'!AY7</f>
        <v>0</v>
      </c>
      <c r="AZ7" s="79">
        <f>'Sectoral Constraints Fig 2-3 AR'!AZ7</f>
        <v>0</v>
      </c>
      <c r="BA7" s="79">
        <f>'Sectoral Constraints Fig 2-3 AR'!BA7</f>
        <v>0</v>
      </c>
      <c r="BB7" s="79">
        <f>'Sectoral Constraints Fig 2-3 AR'!BB7</f>
        <v>0</v>
      </c>
      <c r="BC7" s="79">
        <f>'Sectoral Constraints Fig 2-3 AR'!BC7</f>
        <v>0</v>
      </c>
      <c r="BD7" s="79">
        <f>'Sectoral Constraints Fig 2-3 AR'!BD7</f>
        <v>0</v>
      </c>
      <c r="BE7" s="79">
        <f>'Sectoral Constraints Fig 2-3 AR'!BE7</f>
        <v>0</v>
      </c>
      <c r="BF7" s="79">
        <f>'Sectoral Constraints Fig 2-3 AR'!BF7</f>
        <v>0</v>
      </c>
      <c r="BG7" s="79">
        <f>'Sectoral Constraints Fig 2-3 AR'!BG7</f>
        <v>0</v>
      </c>
      <c r="BH7" s="79">
        <f>'Sectoral Constraints Fig 2-3 AR'!BH7</f>
        <v>0</v>
      </c>
      <c r="BI7" s="79">
        <f>'Sectoral Constraints Fig 2-3 AR'!BI7</f>
        <v>0</v>
      </c>
      <c r="BJ7" s="79">
        <f>'Sectoral Constraints Fig 2-3 AR'!BJ7</f>
        <v>0</v>
      </c>
      <c r="BK7" s="79">
        <f>'Sectoral Constraints Fig 2-3 AR'!BK7</f>
        <v>0</v>
      </c>
      <c r="BL7" s="79">
        <f>'Sectoral Constraints Fig 2-3 AR'!BL7</f>
        <v>0</v>
      </c>
      <c r="BM7" s="79">
        <f>'Sectoral Constraints Fig 2-3 AR'!BM7</f>
        <v>0</v>
      </c>
      <c r="BN7" s="79">
        <f>'Sectoral Constraints Fig 2-3 AR'!BN7</f>
        <v>0</v>
      </c>
      <c r="BO7" s="79">
        <f>'Sectoral Constraints Fig 2-3 AR'!BO7</f>
        <v>0</v>
      </c>
      <c r="BP7" s="79">
        <f>'Sectoral Constraints Fig 2-3 AR'!BP7</f>
        <v>0</v>
      </c>
      <c r="BQ7" s="79">
        <f>'Sectoral Constraints Fig 2-3 AR'!BQ7</f>
        <v>0</v>
      </c>
      <c r="BR7" s="79">
        <f>'Sectoral Constraints Fig 2-3 AR'!BR7</f>
        <v>0</v>
      </c>
      <c r="BS7" s="79">
        <f>'Sectoral Constraints Fig 2-3 AR'!BS7</f>
        <v>0</v>
      </c>
      <c r="BT7" s="79">
        <f>'Sectoral Constraints Fig 2-3 AR'!BT7</f>
        <v>0</v>
      </c>
      <c r="BU7" s="79">
        <f>'Sectoral Constraints Fig 2-3 AR'!BU7</f>
        <v>0</v>
      </c>
      <c r="BV7" s="79">
        <f>'Sectoral Constraints Fig 2-3 AR'!BV7</f>
        <v>0</v>
      </c>
      <c r="BW7" s="79">
        <f>'Sectoral Constraints Fig 2-3 AR'!BW7</f>
        <v>0</v>
      </c>
      <c r="BX7" s="79">
        <f>'Sectoral Constraints Fig 2-3 AR'!BX7</f>
        <v>0</v>
      </c>
      <c r="BY7" s="79">
        <f>'Sectoral Constraints Fig 2-3 AR'!BY7</f>
        <v>0</v>
      </c>
      <c r="BZ7" s="79">
        <f>'Sectoral Constraints Fig 2-3 AR'!BZ7</f>
        <v>0</v>
      </c>
      <c r="CA7" s="79">
        <f>'Sectoral Constraints Fig 2-3 AR'!CA7</f>
        <v>0</v>
      </c>
      <c r="CB7" s="79">
        <f>'Sectoral Constraints Fig 2-3 AR'!CB7</f>
        <v>0</v>
      </c>
      <c r="CC7" s="79">
        <f>'Sectoral Constraints Fig 2-3 AR'!CC7</f>
        <v>0</v>
      </c>
      <c r="CD7" s="79">
        <f>'Sectoral Constraints Fig 2-3 AR'!CD7</f>
        <v>0</v>
      </c>
      <c r="CE7" s="79">
        <f>'Sectoral Constraints Fig 2-3 AR'!CE7</f>
        <v>0</v>
      </c>
      <c r="CF7" s="79">
        <f>'Sectoral Constraints Fig 2-3 AR'!CF7</f>
        <v>0</v>
      </c>
      <c r="CG7" s="79">
        <f>'Sectoral Constraints Fig 2-3 AR'!CG7</f>
        <v>0</v>
      </c>
      <c r="CH7" s="79">
        <f>'Sectoral Constraints Fig 2-3 AR'!CH7</f>
        <v>0</v>
      </c>
      <c r="CI7" s="79">
        <f>'Sectoral Constraints Fig 2-3 AR'!CI7</f>
        <v>0</v>
      </c>
      <c r="CJ7" s="79">
        <f>'Sectoral Constraints Fig 2-3 AR'!CJ7</f>
        <v>0</v>
      </c>
      <c r="CK7" s="79">
        <f>'Sectoral Constraints Fig 2-3 AR'!CK7</f>
        <v>0</v>
      </c>
      <c r="CL7" s="79">
        <f>'Sectoral Constraints Fig 2-3 AR'!CL7</f>
        <v>0</v>
      </c>
      <c r="CM7" s="79">
        <f>'Sectoral Constraints Fig 2-3 AR'!CM7</f>
        <v>0</v>
      </c>
      <c r="CN7" s="79">
        <f>'Sectoral Constraints Fig 2-3 AR'!CN7</f>
        <v>0</v>
      </c>
      <c r="CO7" s="79">
        <f>'Sectoral Constraints Fig 2-3 AR'!CO7</f>
        <v>0</v>
      </c>
      <c r="CP7" s="79">
        <f>'Sectoral Constraints Fig 2-3 AR'!CP7</f>
        <v>0</v>
      </c>
      <c r="CQ7" s="79">
        <f>'Sectoral Constraints Fig 2-3 AR'!CQ7</f>
        <v>0</v>
      </c>
      <c r="CR7" s="79">
        <f>'Sectoral Constraints Fig 2-3 AR'!CR7</f>
        <v>0</v>
      </c>
      <c r="CS7" s="79">
        <f>'Sectoral Constraints Fig 2-3 AR'!CS7</f>
        <v>0</v>
      </c>
      <c r="CT7" s="79">
        <f>'Sectoral Constraints Fig 2-3 AR'!CT7</f>
        <v>0</v>
      </c>
      <c r="CU7" s="79">
        <f>'Sectoral Constraints Fig 2-3 AR'!CU7</f>
        <v>0</v>
      </c>
      <c r="CV7" s="79">
        <f>'Sectoral Constraints Fig 2-3 AR'!CV7</f>
        <v>0</v>
      </c>
      <c r="CW7" s="79">
        <f>'Sectoral Constraints Fig 2-3 AR'!CW7</f>
        <v>0</v>
      </c>
      <c r="CX7" s="79">
        <f>'Sectoral Constraints Fig 2-3 AR'!CX7</f>
        <v>0</v>
      </c>
      <c r="CY7" s="79">
        <f>'Sectoral Constraints Fig 2-3 AR'!CY7</f>
        <v>0</v>
      </c>
      <c r="CZ7" s="79">
        <f>'Sectoral Constraints Fig 2-3 AR'!CZ7</f>
        <v>0</v>
      </c>
      <c r="DA7" s="79">
        <f>'Sectoral Constraints Fig 2-3 AR'!DA7</f>
        <v>0</v>
      </c>
      <c r="DB7" s="79">
        <f>'Sectoral Constraints Fig 2-3 AR'!DB7</f>
        <v>0</v>
      </c>
      <c r="DC7" s="79">
        <f>'Sectoral Constraints Fig 2-3 AR'!DC7</f>
        <v>0</v>
      </c>
      <c r="DD7" s="79">
        <f>'Sectoral Constraints Fig 2-3 AR'!DD7</f>
        <v>0</v>
      </c>
      <c r="DE7" s="79">
        <f>'Sectoral Constraints Fig 2-3 AR'!DE7</f>
        <v>0</v>
      </c>
      <c r="DF7" s="79">
        <f>'Sectoral Constraints Fig 2-3 AR'!DF7</f>
        <v>83</v>
      </c>
      <c r="DG7" s="79">
        <f>'Sectoral Constraints Fig 2-3 AR'!DG7</f>
        <v>96</v>
      </c>
      <c r="DH7" s="79">
        <f>'Sectoral Constraints Fig 2-3 AR'!DH7</f>
        <v>86</v>
      </c>
      <c r="DI7" s="79">
        <f>'Sectoral Constraints Fig 2-3 AR'!DI7</f>
        <v>25</v>
      </c>
      <c r="DJ7" s="79">
        <f>'Sectoral Constraints Fig 2-3 AR'!DJ7</f>
        <v>91</v>
      </c>
      <c r="DK7" s="79">
        <f>'Sectoral Constraints Fig 2-3 AR'!DK7</f>
        <v>10</v>
      </c>
      <c r="DL7" s="79">
        <f>'Sectoral Constraints Fig 2-3 AR'!DL7</f>
        <v>81.447963800904986</v>
      </c>
      <c r="DM7" s="79">
        <f>'Sectoral Constraints Fig 2-3 AR'!DM7</f>
        <v>87.272727272727266</v>
      </c>
      <c r="DN7" s="79">
        <f>'Sectoral Constraints Fig 2-3 AR'!DN7</f>
        <v>86.666666666666671</v>
      </c>
      <c r="DO7" s="79">
        <f>'Sectoral Constraints Fig 2-3 AR'!DO7</f>
        <v>12.222222222222221</v>
      </c>
      <c r="DP7" s="79">
        <f>'Sectoral Constraints Fig 2-3 AR'!DP7</f>
        <v>100</v>
      </c>
      <c r="DQ7" s="79">
        <f>'Sectoral Constraints Fig 2-3 AR'!DQ7</f>
        <v>34.799802273850716</v>
      </c>
      <c r="DR7" s="79">
        <f>'Sectoral Constraints Fig 2-3 AR'!DR7</f>
        <v>83.204930662557771</v>
      </c>
      <c r="DS7" s="79">
        <f>'Sectoral Constraints Fig 2-3 AR'!DS7</f>
        <v>90.566037735849065</v>
      </c>
      <c r="DT7" s="79">
        <f>'Sectoral Constraints Fig 2-3 AR'!DT7</f>
        <v>63.888888888888886</v>
      </c>
      <c r="DU7" s="79">
        <f>'Sectoral Constraints Fig 2-3 AR'!DU7</f>
        <v>43.091168091168079</v>
      </c>
      <c r="DV7" s="79">
        <f>'Sectoral Constraints Fig 2-3 AR'!DV7</f>
        <v>60</v>
      </c>
      <c r="DW7" s="79">
        <f>'Sectoral Constraints Fig 2-3 AR'!DW7</f>
        <v>43.103448275862064</v>
      </c>
      <c r="DX7" s="79">
        <v>68.749999999999986</v>
      </c>
      <c r="DY7" s="79">
        <v>78.431372549019585</v>
      </c>
      <c r="DZ7" s="79">
        <v>42.5</v>
      </c>
      <c r="EA7" s="79">
        <v>30.952380952380949</v>
      </c>
      <c r="EB7" s="100">
        <v>39.285714285714285</v>
      </c>
      <c r="EC7" s="79">
        <v>53.333333333333336</v>
      </c>
      <c r="ED7" s="100">
        <v>74.235807860262014</v>
      </c>
      <c r="EE7" s="100">
        <v>83.928571428571431</v>
      </c>
      <c r="EF7" s="100">
        <v>45</v>
      </c>
      <c r="EG7" s="100">
        <v>6.2499999999999982</v>
      </c>
      <c r="EH7" s="100">
        <v>50</v>
      </c>
      <c r="EI7" s="100">
        <v>28.846153846153843</v>
      </c>
      <c r="EJ7" s="100">
        <v>54.185022026431703</v>
      </c>
      <c r="EK7" s="100">
        <v>59.259259259259267</v>
      </c>
      <c r="EL7" s="100">
        <v>79.411764705882348</v>
      </c>
      <c r="EM7" s="100">
        <v>71.428571428571416</v>
      </c>
      <c r="EN7" s="100">
        <v>56.25</v>
      </c>
      <c r="EO7" s="100">
        <v>0</v>
      </c>
      <c r="EP7" s="100">
        <v>63</v>
      </c>
      <c r="EQ7" s="100">
        <v>57</v>
      </c>
      <c r="ER7" s="100">
        <v>79</v>
      </c>
      <c r="ES7" s="100">
        <v>70</v>
      </c>
      <c r="ET7" s="100">
        <v>63</v>
      </c>
      <c r="EU7" s="100">
        <v>19</v>
      </c>
      <c r="EV7" s="100">
        <v>52</v>
      </c>
      <c r="EW7" s="100">
        <v>68.518518518518519</v>
      </c>
      <c r="EX7" s="100">
        <v>37.142857142857146</v>
      </c>
      <c r="EY7" s="100">
        <v>60.869565217391298</v>
      </c>
      <c r="EZ7" s="100">
        <v>28.571428571428569</v>
      </c>
      <c r="FA7" s="100">
        <v>0</v>
      </c>
    </row>
    <row r="8" spans="1:157" s="80" customFormat="1" ht="16.5" x14ac:dyDescent="0.3">
      <c r="A8" s="78" t="s">
        <v>58</v>
      </c>
      <c r="B8" s="79">
        <f>'Sectoral Constraints Fig 2-3 AR'!B8</f>
        <v>0</v>
      </c>
      <c r="C8" s="79">
        <f>'Sectoral Constraints Fig 2-3 AR'!C8</f>
        <v>0</v>
      </c>
      <c r="D8" s="79">
        <f>'Sectoral Constraints Fig 2-3 AR'!D8</f>
        <v>0</v>
      </c>
      <c r="E8" s="79">
        <f>'Sectoral Constraints Fig 2-3 AR'!E8</f>
        <v>0</v>
      </c>
      <c r="F8" s="79">
        <f>'Sectoral Constraints Fig 2-3 AR'!F8</f>
        <v>0</v>
      </c>
      <c r="G8" s="79">
        <f>'Sectoral Constraints Fig 2-3 AR'!G8</f>
        <v>0</v>
      </c>
      <c r="H8" s="79">
        <f>'Sectoral Constraints Fig 2-3 AR'!H8</f>
        <v>0</v>
      </c>
      <c r="I8" s="79">
        <f>'Sectoral Constraints Fig 2-3 AR'!I8</f>
        <v>0</v>
      </c>
      <c r="J8" s="79">
        <f>'Sectoral Constraints Fig 2-3 AR'!J8</f>
        <v>0</v>
      </c>
      <c r="K8" s="79">
        <f>'Sectoral Constraints Fig 2-3 AR'!K8</f>
        <v>0</v>
      </c>
      <c r="L8" s="79">
        <f>'Sectoral Constraints Fig 2-3 AR'!L8</f>
        <v>0</v>
      </c>
      <c r="M8" s="79">
        <f>'Sectoral Constraints Fig 2-3 AR'!M8</f>
        <v>0</v>
      </c>
      <c r="N8" s="79">
        <f>'Sectoral Constraints Fig 2-3 AR'!N8</f>
        <v>0</v>
      </c>
      <c r="O8" s="79">
        <f>'Sectoral Constraints Fig 2-3 AR'!O8</f>
        <v>0</v>
      </c>
      <c r="P8" s="79">
        <f>'Sectoral Constraints Fig 2-3 AR'!P8</f>
        <v>0</v>
      </c>
      <c r="Q8" s="79">
        <f>'Sectoral Constraints Fig 2-3 AR'!Q8</f>
        <v>0</v>
      </c>
      <c r="R8" s="79">
        <f>'Sectoral Constraints Fig 2-3 AR'!R8</f>
        <v>0</v>
      </c>
      <c r="S8" s="79">
        <f>'Sectoral Constraints Fig 2-3 AR'!S8</f>
        <v>0</v>
      </c>
      <c r="T8" s="79">
        <f>'Sectoral Constraints Fig 2-3 AR'!T8</f>
        <v>0</v>
      </c>
      <c r="U8" s="79">
        <f>'Sectoral Constraints Fig 2-3 AR'!U8</f>
        <v>0</v>
      </c>
      <c r="V8" s="79">
        <f>'Sectoral Constraints Fig 2-3 AR'!V8</f>
        <v>0</v>
      </c>
      <c r="W8" s="79">
        <f>'Sectoral Constraints Fig 2-3 AR'!W8</f>
        <v>0</v>
      </c>
      <c r="X8" s="79">
        <f>'Sectoral Constraints Fig 2-3 AR'!X8</f>
        <v>0</v>
      </c>
      <c r="Y8" s="79">
        <f>'Sectoral Constraints Fig 2-3 AR'!Y8</f>
        <v>0</v>
      </c>
      <c r="Z8" s="79">
        <f>'Sectoral Constraints Fig 2-3 AR'!Z8</f>
        <v>0</v>
      </c>
      <c r="AA8" s="79">
        <f>'Sectoral Constraints Fig 2-3 AR'!AA8</f>
        <v>0</v>
      </c>
      <c r="AB8" s="79">
        <f>'Sectoral Constraints Fig 2-3 AR'!AB8</f>
        <v>0</v>
      </c>
      <c r="AC8" s="79">
        <f>'Sectoral Constraints Fig 2-3 AR'!AC8</f>
        <v>0</v>
      </c>
      <c r="AD8" s="79">
        <f>'Sectoral Constraints Fig 2-3 AR'!AD8</f>
        <v>0</v>
      </c>
      <c r="AE8" s="79">
        <f>'Sectoral Constraints Fig 2-3 AR'!AE8</f>
        <v>0</v>
      </c>
      <c r="AF8" s="79">
        <f>'Sectoral Constraints Fig 2-3 AR'!AF8</f>
        <v>0</v>
      </c>
      <c r="AG8" s="79">
        <f>'Sectoral Constraints Fig 2-3 AR'!AG8</f>
        <v>0</v>
      </c>
      <c r="AH8" s="79">
        <f>'Sectoral Constraints Fig 2-3 AR'!AH8</f>
        <v>0</v>
      </c>
      <c r="AI8" s="79">
        <f>'Sectoral Constraints Fig 2-3 AR'!AI8</f>
        <v>0</v>
      </c>
      <c r="AJ8" s="79">
        <f>'Sectoral Constraints Fig 2-3 AR'!AJ8</f>
        <v>0</v>
      </c>
      <c r="AK8" s="79">
        <f>'Sectoral Constraints Fig 2-3 AR'!AK8</f>
        <v>0</v>
      </c>
      <c r="AL8" s="79">
        <f>'Sectoral Constraints Fig 2-3 AR'!AL8</f>
        <v>0</v>
      </c>
      <c r="AM8" s="79">
        <f>'Sectoral Constraints Fig 2-3 AR'!AM8</f>
        <v>0</v>
      </c>
      <c r="AN8" s="79">
        <f>'Sectoral Constraints Fig 2-3 AR'!AN8</f>
        <v>0</v>
      </c>
      <c r="AO8" s="79">
        <f>'Sectoral Constraints Fig 2-3 AR'!AO8</f>
        <v>0</v>
      </c>
      <c r="AP8" s="79">
        <f>'Sectoral Constraints Fig 2-3 AR'!AP8</f>
        <v>0</v>
      </c>
      <c r="AQ8" s="79">
        <f>'Sectoral Constraints Fig 2-3 AR'!AQ8</f>
        <v>0</v>
      </c>
      <c r="AR8" s="79">
        <f>'Sectoral Constraints Fig 2-3 AR'!AR8</f>
        <v>0</v>
      </c>
      <c r="AS8" s="79">
        <f>'Sectoral Constraints Fig 2-3 AR'!AS8</f>
        <v>0</v>
      </c>
      <c r="AT8" s="79">
        <f>'Sectoral Constraints Fig 2-3 AR'!AT8</f>
        <v>0</v>
      </c>
      <c r="AU8" s="79">
        <f>'Sectoral Constraints Fig 2-3 AR'!AU8</f>
        <v>0</v>
      </c>
      <c r="AV8" s="79">
        <f>'Sectoral Constraints Fig 2-3 AR'!AV8</f>
        <v>0</v>
      </c>
      <c r="AW8" s="79">
        <f>'Sectoral Constraints Fig 2-3 AR'!AW8</f>
        <v>0</v>
      </c>
      <c r="AX8" s="79">
        <f>'Sectoral Constraints Fig 2-3 AR'!AX8</f>
        <v>0</v>
      </c>
      <c r="AY8" s="79">
        <f>'Sectoral Constraints Fig 2-3 AR'!AY8</f>
        <v>0</v>
      </c>
      <c r="AZ8" s="79">
        <f>'Sectoral Constraints Fig 2-3 AR'!AZ8</f>
        <v>0</v>
      </c>
      <c r="BA8" s="79">
        <f>'Sectoral Constraints Fig 2-3 AR'!BA8</f>
        <v>0</v>
      </c>
      <c r="BB8" s="79">
        <f>'Sectoral Constraints Fig 2-3 AR'!BB8</f>
        <v>0</v>
      </c>
      <c r="BC8" s="79">
        <f>'Sectoral Constraints Fig 2-3 AR'!BC8</f>
        <v>0</v>
      </c>
      <c r="BD8" s="79">
        <f>'Sectoral Constraints Fig 2-3 AR'!BD8</f>
        <v>0</v>
      </c>
      <c r="BE8" s="79">
        <f>'Sectoral Constraints Fig 2-3 AR'!BE8</f>
        <v>0</v>
      </c>
      <c r="BF8" s="79">
        <f>'Sectoral Constraints Fig 2-3 AR'!BF8</f>
        <v>0</v>
      </c>
      <c r="BG8" s="79">
        <f>'Sectoral Constraints Fig 2-3 AR'!BG8</f>
        <v>0</v>
      </c>
      <c r="BH8" s="79">
        <f>'Sectoral Constraints Fig 2-3 AR'!BH8</f>
        <v>0</v>
      </c>
      <c r="BI8" s="79">
        <f>'Sectoral Constraints Fig 2-3 AR'!BI8</f>
        <v>0</v>
      </c>
      <c r="BJ8" s="79">
        <f>'Sectoral Constraints Fig 2-3 AR'!BJ8</f>
        <v>0</v>
      </c>
      <c r="BK8" s="79">
        <f>'Sectoral Constraints Fig 2-3 AR'!BK8</f>
        <v>0</v>
      </c>
      <c r="BL8" s="79">
        <f>'Sectoral Constraints Fig 2-3 AR'!BL8</f>
        <v>0</v>
      </c>
      <c r="BM8" s="79">
        <f>'Sectoral Constraints Fig 2-3 AR'!BM8</f>
        <v>0</v>
      </c>
      <c r="BN8" s="79">
        <f>'Sectoral Constraints Fig 2-3 AR'!BN8</f>
        <v>0</v>
      </c>
      <c r="BO8" s="79">
        <f>'Sectoral Constraints Fig 2-3 AR'!BO8</f>
        <v>0</v>
      </c>
      <c r="BP8" s="79">
        <f>'Sectoral Constraints Fig 2-3 AR'!BP8</f>
        <v>0</v>
      </c>
      <c r="BQ8" s="79">
        <f>'Sectoral Constraints Fig 2-3 AR'!BQ8</f>
        <v>0</v>
      </c>
      <c r="BR8" s="79">
        <f>'Sectoral Constraints Fig 2-3 AR'!BR8</f>
        <v>0</v>
      </c>
      <c r="BS8" s="79">
        <f>'Sectoral Constraints Fig 2-3 AR'!BS8</f>
        <v>0</v>
      </c>
      <c r="BT8" s="79">
        <f>'Sectoral Constraints Fig 2-3 AR'!BT8</f>
        <v>0</v>
      </c>
      <c r="BU8" s="79">
        <f>'Sectoral Constraints Fig 2-3 AR'!BU8</f>
        <v>0</v>
      </c>
      <c r="BV8" s="79">
        <f>'Sectoral Constraints Fig 2-3 AR'!BV8</f>
        <v>0</v>
      </c>
      <c r="BW8" s="79">
        <f>'Sectoral Constraints Fig 2-3 AR'!BW8</f>
        <v>0</v>
      </c>
      <c r="BX8" s="79">
        <f>'Sectoral Constraints Fig 2-3 AR'!BX8</f>
        <v>0</v>
      </c>
      <c r="BY8" s="79">
        <f>'Sectoral Constraints Fig 2-3 AR'!BY8</f>
        <v>0</v>
      </c>
      <c r="BZ8" s="79">
        <f>'Sectoral Constraints Fig 2-3 AR'!BZ8</f>
        <v>0</v>
      </c>
      <c r="CA8" s="79">
        <f>'Sectoral Constraints Fig 2-3 AR'!CA8</f>
        <v>0</v>
      </c>
      <c r="CB8" s="79">
        <f>'Sectoral Constraints Fig 2-3 AR'!CB8</f>
        <v>0</v>
      </c>
      <c r="CC8" s="79">
        <f>'Sectoral Constraints Fig 2-3 AR'!CC8</f>
        <v>0</v>
      </c>
      <c r="CD8" s="79">
        <f>'Sectoral Constraints Fig 2-3 AR'!CD8</f>
        <v>0</v>
      </c>
      <c r="CE8" s="79">
        <f>'Sectoral Constraints Fig 2-3 AR'!CE8</f>
        <v>0</v>
      </c>
      <c r="CF8" s="79">
        <f>'Sectoral Constraints Fig 2-3 AR'!CF8</f>
        <v>0</v>
      </c>
      <c r="CG8" s="79">
        <f>'Sectoral Constraints Fig 2-3 AR'!CG8</f>
        <v>0</v>
      </c>
      <c r="CH8" s="79">
        <f>'Sectoral Constraints Fig 2-3 AR'!CH8</f>
        <v>0</v>
      </c>
      <c r="CI8" s="79">
        <f>'Sectoral Constraints Fig 2-3 AR'!CI8</f>
        <v>0</v>
      </c>
      <c r="CJ8" s="79">
        <f>'Sectoral Constraints Fig 2-3 AR'!CJ8</f>
        <v>0</v>
      </c>
      <c r="CK8" s="79">
        <f>'Sectoral Constraints Fig 2-3 AR'!CK8</f>
        <v>0</v>
      </c>
      <c r="CL8" s="79">
        <f>'Sectoral Constraints Fig 2-3 AR'!CL8</f>
        <v>0</v>
      </c>
      <c r="CM8" s="79">
        <f>'Sectoral Constraints Fig 2-3 AR'!CM8</f>
        <v>0</v>
      </c>
      <c r="CN8" s="79">
        <f>'Sectoral Constraints Fig 2-3 AR'!CN8</f>
        <v>0</v>
      </c>
      <c r="CO8" s="79">
        <f>'Sectoral Constraints Fig 2-3 AR'!CO8</f>
        <v>0</v>
      </c>
      <c r="CP8" s="79">
        <f>'Sectoral Constraints Fig 2-3 AR'!CP8</f>
        <v>0</v>
      </c>
      <c r="CQ8" s="79">
        <f>'Sectoral Constraints Fig 2-3 AR'!CQ8</f>
        <v>0</v>
      </c>
      <c r="CR8" s="79">
        <f>'Sectoral Constraints Fig 2-3 AR'!CR8</f>
        <v>0</v>
      </c>
      <c r="CS8" s="79">
        <f>'Sectoral Constraints Fig 2-3 AR'!CS8</f>
        <v>0</v>
      </c>
      <c r="CT8" s="79">
        <f>'Sectoral Constraints Fig 2-3 AR'!CT8</f>
        <v>0</v>
      </c>
      <c r="CU8" s="79">
        <f>'Sectoral Constraints Fig 2-3 AR'!CU8</f>
        <v>0</v>
      </c>
      <c r="CV8" s="79">
        <f>'Sectoral Constraints Fig 2-3 AR'!CV8</f>
        <v>0</v>
      </c>
      <c r="CW8" s="79">
        <f>'Sectoral Constraints Fig 2-3 AR'!CW8</f>
        <v>0</v>
      </c>
      <c r="CX8" s="79">
        <f>'Sectoral Constraints Fig 2-3 AR'!CX8</f>
        <v>0</v>
      </c>
      <c r="CY8" s="79">
        <f>'Sectoral Constraints Fig 2-3 AR'!CY8</f>
        <v>0</v>
      </c>
      <c r="CZ8" s="79">
        <f>'Sectoral Constraints Fig 2-3 AR'!CZ8</f>
        <v>0</v>
      </c>
      <c r="DA8" s="79">
        <f>'Sectoral Constraints Fig 2-3 AR'!DA8</f>
        <v>0</v>
      </c>
      <c r="DB8" s="79">
        <f>'Sectoral Constraints Fig 2-3 AR'!DB8</f>
        <v>0</v>
      </c>
      <c r="DC8" s="79">
        <f>'Sectoral Constraints Fig 2-3 AR'!DC8</f>
        <v>0</v>
      </c>
      <c r="DD8" s="79">
        <f>'Sectoral Constraints Fig 2-3 AR'!DD8</f>
        <v>0</v>
      </c>
      <c r="DE8" s="79">
        <f>'Sectoral Constraints Fig 2-3 AR'!DE8</f>
        <v>0</v>
      </c>
      <c r="DF8" s="79">
        <f>'Sectoral Constraints Fig 2-3 AR'!DF8</f>
        <v>80</v>
      </c>
      <c r="DG8" s="79">
        <f>'Sectoral Constraints Fig 2-3 AR'!DG8</f>
        <v>73</v>
      </c>
      <c r="DH8" s="79">
        <f>'Sectoral Constraints Fig 2-3 AR'!DH8</f>
        <v>100</v>
      </c>
      <c r="DI8" s="79">
        <f>'Sectoral Constraints Fig 2-3 AR'!DI8</f>
        <v>25</v>
      </c>
      <c r="DJ8" s="79">
        <f>'Sectoral Constraints Fig 2-3 AR'!DJ8</f>
        <v>100</v>
      </c>
      <c r="DK8" s="79">
        <f>'Sectoral Constraints Fig 2-3 AR'!DK8</f>
        <v>25</v>
      </c>
      <c r="DL8" s="79">
        <f>'Sectoral Constraints Fig 2-3 AR'!DL8</f>
        <v>71.945701357466078</v>
      </c>
      <c r="DM8" s="79">
        <f>'Sectoral Constraints Fig 2-3 AR'!DM8</f>
        <v>67.272727272727266</v>
      </c>
      <c r="DN8" s="79">
        <f>'Sectoral Constraints Fig 2-3 AR'!DN8</f>
        <v>73.333333333333329</v>
      </c>
      <c r="DO8" s="79">
        <f>'Sectoral Constraints Fig 2-3 AR'!DO8</f>
        <v>11.111111111111111</v>
      </c>
      <c r="DP8" s="79">
        <f>'Sectoral Constraints Fig 2-3 AR'!DP8</f>
        <v>100</v>
      </c>
      <c r="DQ8" s="79">
        <f>'Sectoral Constraints Fig 2-3 AR'!DQ8</f>
        <v>9.490855165595649</v>
      </c>
      <c r="DR8" s="79">
        <f>'Sectoral Constraints Fig 2-3 AR'!DR8</f>
        <v>70.454545454545453</v>
      </c>
      <c r="DS8" s="79">
        <f>'Sectoral Constraints Fig 2-3 AR'!DS8</f>
        <v>69.811320754716988</v>
      </c>
      <c r="DT8" s="79">
        <f>'Sectoral Constraints Fig 2-3 AR'!DT8</f>
        <v>50</v>
      </c>
      <c r="DU8" s="79">
        <f>'Sectoral Constraints Fig 2-3 AR'!DU8</f>
        <v>15.08190883190883</v>
      </c>
      <c r="DV8" s="79">
        <f>'Sectoral Constraints Fig 2-3 AR'!DV8</f>
        <v>80</v>
      </c>
      <c r="DW8" s="79">
        <f>'Sectoral Constraints Fig 2-3 AR'!DW8</f>
        <v>3.4482758620689653</v>
      </c>
      <c r="DX8" s="79">
        <v>67.857142857142804</v>
      </c>
      <c r="DY8" s="79">
        <v>58.823529411764696</v>
      </c>
      <c r="DZ8" s="79">
        <v>30</v>
      </c>
      <c r="EA8" s="79">
        <v>26.190476190476186</v>
      </c>
      <c r="EB8" s="100">
        <v>60.714285714285708</v>
      </c>
      <c r="EC8" s="79">
        <v>10</v>
      </c>
      <c r="ED8" s="100">
        <v>69.432314410480345</v>
      </c>
      <c r="EE8" s="100">
        <v>66.071428571428569</v>
      </c>
      <c r="EF8" s="100">
        <v>30</v>
      </c>
      <c r="EG8" s="100">
        <v>14.583333333333332</v>
      </c>
      <c r="EH8" s="100">
        <v>68.75</v>
      </c>
      <c r="EI8" s="100">
        <v>0</v>
      </c>
      <c r="EJ8" s="100">
        <v>66.960352422907491</v>
      </c>
      <c r="EK8" s="100">
        <v>50</v>
      </c>
      <c r="EL8" s="100">
        <v>61.764705882352942</v>
      </c>
      <c r="EM8" s="100">
        <v>52.380952380952372</v>
      </c>
      <c r="EN8" s="100">
        <v>68.75</v>
      </c>
      <c r="EO8" s="100">
        <v>1.7857142857142856</v>
      </c>
      <c r="EP8" s="100">
        <v>65</v>
      </c>
      <c r="EQ8" s="100">
        <v>60</v>
      </c>
      <c r="ER8" s="100">
        <v>54</v>
      </c>
      <c r="ES8" s="100">
        <v>62</v>
      </c>
      <c r="ET8" s="100">
        <v>75</v>
      </c>
      <c r="EU8" s="100">
        <v>0</v>
      </c>
      <c r="EV8" s="100">
        <v>68.444444444444443</v>
      </c>
      <c r="EW8" s="100">
        <v>61.111111111111128</v>
      </c>
      <c r="EX8" s="100">
        <v>31.428571428571427</v>
      </c>
      <c r="EY8" s="100">
        <v>56.521739130434788</v>
      </c>
      <c r="EZ8" s="100">
        <v>64.285714285714292</v>
      </c>
      <c r="FA8" s="100">
        <v>0</v>
      </c>
    </row>
    <row r="9" spans="1:157" s="80" customFormat="1" ht="16.5" x14ac:dyDescent="0.3">
      <c r="A9" s="78" t="s">
        <v>56</v>
      </c>
      <c r="B9" s="79">
        <f>'Sectoral Constraints Fig 2-3 AR'!B9</f>
        <v>0</v>
      </c>
      <c r="C9" s="79">
        <f>'Sectoral Constraints Fig 2-3 AR'!C9</f>
        <v>0</v>
      </c>
      <c r="D9" s="79">
        <f>'Sectoral Constraints Fig 2-3 AR'!D9</f>
        <v>0</v>
      </c>
      <c r="E9" s="79">
        <f>'Sectoral Constraints Fig 2-3 AR'!E9</f>
        <v>0</v>
      </c>
      <c r="F9" s="79">
        <f>'Sectoral Constraints Fig 2-3 AR'!F9</f>
        <v>0</v>
      </c>
      <c r="G9" s="79">
        <f>'Sectoral Constraints Fig 2-3 AR'!G9</f>
        <v>0</v>
      </c>
      <c r="H9" s="79">
        <f>'Sectoral Constraints Fig 2-3 AR'!H9</f>
        <v>0</v>
      </c>
      <c r="I9" s="79">
        <f>'Sectoral Constraints Fig 2-3 AR'!I9</f>
        <v>0</v>
      </c>
      <c r="J9" s="79">
        <f>'Sectoral Constraints Fig 2-3 AR'!J9</f>
        <v>0</v>
      </c>
      <c r="K9" s="79">
        <f>'Sectoral Constraints Fig 2-3 AR'!K9</f>
        <v>0</v>
      </c>
      <c r="L9" s="79">
        <f>'Sectoral Constraints Fig 2-3 AR'!L9</f>
        <v>0</v>
      </c>
      <c r="M9" s="79">
        <f>'Sectoral Constraints Fig 2-3 AR'!M9</f>
        <v>0</v>
      </c>
      <c r="N9" s="79">
        <f>'Sectoral Constraints Fig 2-3 AR'!N9</f>
        <v>0</v>
      </c>
      <c r="O9" s="79">
        <f>'Sectoral Constraints Fig 2-3 AR'!O9</f>
        <v>0</v>
      </c>
      <c r="P9" s="79">
        <f>'Sectoral Constraints Fig 2-3 AR'!P9</f>
        <v>0</v>
      </c>
      <c r="Q9" s="79">
        <f>'Sectoral Constraints Fig 2-3 AR'!Q9</f>
        <v>0</v>
      </c>
      <c r="R9" s="79">
        <f>'Sectoral Constraints Fig 2-3 AR'!R9</f>
        <v>0</v>
      </c>
      <c r="S9" s="79">
        <f>'Sectoral Constraints Fig 2-3 AR'!S9</f>
        <v>0</v>
      </c>
      <c r="T9" s="79">
        <f>'Sectoral Constraints Fig 2-3 AR'!T9</f>
        <v>0</v>
      </c>
      <c r="U9" s="79">
        <f>'Sectoral Constraints Fig 2-3 AR'!U9</f>
        <v>0</v>
      </c>
      <c r="V9" s="79">
        <f>'Sectoral Constraints Fig 2-3 AR'!V9</f>
        <v>0</v>
      </c>
      <c r="W9" s="79">
        <f>'Sectoral Constraints Fig 2-3 AR'!W9</f>
        <v>0</v>
      </c>
      <c r="X9" s="79">
        <f>'Sectoral Constraints Fig 2-3 AR'!X9</f>
        <v>0</v>
      </c>
      <c r="Y9" s="79">
        <f>'Sectoral Constraints Fig 2-3 AR'!Y9</f>
        <v>0</v>
      </c>
      <c r="Z9" s="79">
        <f>'Sectoral Constraints Fig 2-3 AR'!Z9</f>
        <v>0</v>
      </c>
      <c r="AA9" s="79">
        <f>'Sectoral Constraints Fig 2-3 AR'!AA9</f>
        <v>0</v>
      </c>
      <c r="AB9" s="79">
        <f>'Sectoral Constraints Fig 2-3 AR'!AB9</f>
        <v>0</v>
      </c>
      <c r="AC9" s="79">
        <f>'Sectoral Constraints Fig 2-3 AR'!AC9</f>
        <v>0</v>
      </c>
      <c r="AD9" s="79">
        <f>'Sectoral Constraints Fig 2-3 AR'!AD9</f>
        <v>0</v>
      </c>
      <c r="AE9" s="79">
        <f>'Sectoral Constraints Fig 2-3 AR'!AE9</f>
        <v>0</v>
      </c>
      <c r="AF9" s="79">
        <f>'Sectoral Constraints Fig 2-3 AR'!AF9</f>
        <v>0</v>
      </c>
      <c r="AG9" s="79">
        <f>'Sectoral Constraints Fig 2-3 AR'!AG9</f>
        <v>0</v>
      </c>
      <c r="AH9" s="79">
        <f>'Sectoral Constraints Fig 2-3 AR'!AH9</f>
        <v>0</v>
      </c>
      <c r="AI9" s="79">
        <f>'Sectoral Constraints Fig 2-3 AR'!AI9</f>
        <v>0</v>
      </c>
      <c r="AJ9" s="79">
        <f>'Sectoral Constraints Fig 2-3 AR'!AJ9</f>
        <v>0</v>
      </c>
      <c r="AK9" s="79">
        <f>'Sectoral Constraints Fig 2-3 AR'!AK9</f>
        <v>0</v>
      </c>
      <c r="AL9" s="79">
        <f>'Sectoral Constraints Fig 2-3 AR'!AL9</f>
        <v>0</v>
      </c>
      <c r="AM9" s="79">
        <f>'Sectoral Constraints Fig 2-3 AR'!AM9</f>
        <v>0</v>
      </c>
      <c r="AN9" s="79">
        <f>'Sectoral Constraints Fig 2-3 AR'!AN9</f>
        <v>0</v>
      </c>
      <c r="AO9" s="79">
        <f>'Sectoral Constraints Fig 2-3 AR'!AO9</f>
        <v>0</v>
      </c>
      <c r="AP9" s="79">
        <f>'Sectoral Constraints Fig 2-3 AR'!AP9</f>
        <v>0</v>
      </c>
      <c r="AQ9" s="79">
        <f>'Sectoral Constraints Fig 2-3 AR'!AQ9</f>
        <v>0</v>
      </c>
      <c r="AR9" s="79">
        <f>'Sectoral Constraints Fig 2-3 AR'!AR9</f>
        <v>0</v>
      </c>
      <c r="AS9" s="79">
        <f>'Sectoral Constraints Fig 2-3 AR'!AS9</f>
        <v>0</v>
      </c>
      <c r="AT9" s="79">
        <f>'Sectoral Constraints Fig 2-3 AR'!AT9</f>
        <v>0</v>
      </c>
      <c r="AU9" s="79">
        <f>'Sectoral Constraints Fig 2-3 AR'!AU9</f>
        <v>0</v>
      </c>
      <c r="AV9" s="79">
        <f>'Sectoral Constraints Fig 2-3 AR'!AV9</f>
        <v>0</v>
      </c>
      <c r="AW9" s="79">
        <f>'Sectoral Constraints Fig 2-3 AR'!AW9</f>
        <v>0</v>
      </c>
      <c r="AX9" s="79">
        <f>'Sectoral Constraints Fig 2-3 AR'!AX9</f>
        <v>0</v>
      </c>
      <c r="AY9" s="79">
        <f>'Sectoral Constraints Fig 2-3 AR'!AY9</f>
        <v>0</v>
      </c>
      <c r="AZ9" s="79">
        <f>'Sectoral Constraints Fig 2-3 AR'!AZ9</f>
        <v>0</v>
      </c>
      <c r="BA9" s="79">
        <f>'Sectoral Constraints Fig 2-3 AR'!BA9</f>
        <v>0</v>
      </c>
      <c r="BB9" s="79">
        <f>'Sectoral Constraints Fig 2-3 AR'!BB9</f>
        <v>0</v>
      </c>
      <c r="BC9" s="79">
        <f>'Sectoral Constraints Fig 2-3 AR'!BC9</f>
        <v>0</v>
      </c>
      <c r="BD9" s="79">
        <f>'Sectoral Constraints Fig 2-3 AR'!BD9</f>
        <v>0</v>
      </c>
      <c r="BE9" s="79">
        <f>'Sectoral Constraints Fig 2-3 AR'!BE9</f>
        <v>0</v>
      </c>
      <c r="BF9" s="79">
        <f>'Sectoral Constraints Fig 2-3 AR'!BF9</f>
        <v>0</v>
      </c>
      <c r="BG9" s="79">
        <f>'Sectoral Constraints Fig 2-3 AR'!BG9</f>
        <v>0</v>
      </c>
      <c r="BH9" s="79">
        <f>'Sectoral Constraints Fig 2-3 AR'!BH9</f>
        <v>0</v>
      </c>
      <c r="BI9" s="79">
        <f>'Sectoral Constraints Fig 2-3 AR'!BI9</f>
        <v>0</v>
      </c>
      <c r="BJ9" s="79">
        <f>'Sectoral Constraints Fig 2-3 AR'!BJ9</f>
        <v>0</v>
      </c>
      <c r="BK9" s="79">
        <f>'Sectoral Constraints Fig 2-3 AR'!BK9</f>
        <v>0</v>
      </c>
      <c r="BL9" s="79">
        <f>'Sectoral Constraints Fig 2-3 AR'!BL9</f>
        <v>0</v>
      </c>
      <c r="BM9" s="79">
        <f>'Sectoral Constraints Fig 2-3 AR'!BM9</f>
        <v>0</v>
      </c>
      <c r="BN9" s="79">
        <f>'Sectoral Constraints Fig 2-3 AR'!BN9</f>
        <v>0</v>
      </c>
      <c r="BO9" s="79">
        <f>'Sectoral Constraints Fig 2-3 AR'!BO9</f>
        <v>0</v>
      </c>
      <c r="BP9" s="79">
        <f>'Sectoral Constraints Fig 2-3 AR'!BP9</f>
        <v>0</v>
      </c>
      <c r="BQ9" s="79">
        <f>'Sectoral Constraints Fig 2-3 AR'!BQ9</f>
        <v>0</v>
      </c>
      <c r="BR9" s="79">
        <f>'Sectoral Constraints Fig 2-3 AR'!BR9</f>
        <v>0</v>
      </c>
      <c r="BS9" s="79">
        <f>'Sectoral Constraints Fig 2-3 AR'!BS9</f>
        <v>0</v>
      </c>
      <c r="BT9" s="79">
        <f>'Sectoral Constraints Fig 2-3 AR'!BT9</f>
        <v>0</v>
      </c>
      <c r="BU9" s="79">
        <f>'Sectoral Constraints Fig 2-3 AR'!BU9</f>
        <v>0</v>
      </c>
      <c r="BV9" s="79">
        <f>'Sectoral Constraints Fig 2-3 AR'!BV9</f>
        <v>0</v>
      </c>
      <c r="BW9" s="79">
        <f>'Sectoral Constraints Fig 2-3 AR'!BW9</f>
        <v>0</v>
      </c>
      <c r="BX9" s="79">
        <f>'Sectoral Constraints Fig 2-3 AR'!BX9</f>
        <v>0</v>
      </c>
      <c r="BY9" s="79">
        <f>'Sectoral Constraints Fig 2-3 AR'!BY9</f>
        <v>0</v>
      </c>
      <c r="BZ9" s="79">
        <f>'Sectoral Constraints Fig 2-3 AR'!BZ9</f>
        <v>0</v>
      </c>
      <c r="CA9" s="79">
        <f>'Sectoral Constraints Fig 2-3 AR'!CA9</f>
        <v>0</v>
      </c>
      <c r="CB9" s="79">
        <f>'Sectoral Constraints Fig 2-3 AR'!CB9</f>
        <v>0</v>
      </c>
      <c r="CC9" s="79">
        <f>'Sectoral Constraints Fig 2-3 AR'!CC9</f>
        <v>0</v>
      </c>
      <c r="CD9" s="79">
        <f>'Sectoral Constraints Fig 2-3 AR'!CD9</f>
        <v>0</v>
      </c>
      <c r="CE9" s="79">
        <f>'Sectoral Constraints Fig 2-3 AR'!CE9</f>
        <v>0</v>
      </c>
      <c r="CF9" s="79">
        <f>'Sectoral Constraints Fig 2-3 AR'!CF9</f>
        <v>0</v>
      </c>
      <c r="CG9" s="79">
        <f>'Sectoral Constraints Fig 2-3 AR'!CG9</f>
        <v>0</v>
      </c>
      <c r="CH9" s="79">
        <f>'Sectoral Constraints Fig 2-3 AR'!CH9</f>
        <v>0</v>
      </c>
      <c r="CI9" s="79">
        <f>'Sectoral Constraints Fig 2-3 AR'!CI9</f>
        <v>0</v>
      </c>
      <c r="CJ9" s="79">
        <f>'Sectoral Constraints Fig 2-3 AR'!CJ9</f>
        <v>0</v>
      </c>
      <c r="CK9" s="79">
        <f>'Sectoral Constraints Fig 2-3 AR'!CK9</f>
        <v>0</v>
      </c>
      <c r="CL9" s="79">
        <f>'Sectoral Constraints Fig 2-3 AR'!CL9</f>
        <v>0</v>
      </c>
      <c r="CM9" s="79">
        <f>'Sectoral Constraints Fig 2-3 AR'!CM9</f>
        <v>0</v>
      </c>
      <c r="CN9" s="79">
        <f>'Sectoral Constraints Fig 2-3 AR'!CN9</f>
        <v>0</v>
      </c>
      <c r="CO9" s="79">
        <f>'Sectoral Constraints Fig 2-3 AR'!CO9</f>
        <v>0</v>
      </c>
      <c r="CP9" s="79">
        <f>'Sectoral Constraints Fig 2-3 AR'!CP9</f>
        <v>0</v>
      </c>
      <c r="CQ9" s="79">
        <f>'Sectoral Constraints Fig 2-3 AR'!CQ9</f>
        <v>0</v>
      </c>
      <c r="CR9" s="79">
        <f>'Sectoral Constraints Fig 2-3 AR'!CR9</f>
        <v>0</v>
      </c>
      <c r="CS9" s="79">
        <f>'Sectoral Constraints Fig 2-3 AR'!CS9</f>
        <v>0</v>
      </c>
      <c r="CT9" s="79">
        <f>'Sectoral Constraints Fig 2-3 AR'!CT9</f>
        <v>0</v>
      </c>
      <c r="CU9" s="79">
        <f>'Sectoral Constraints Fig 2-3 AR'!CU9</f>
        <v>0</v>
      </c>
      <c r="CV9" s="79">
        <f>'Sectoral Constraints Fig 2-3 AR'!CV9</f>
        <v>0</v>
      </c>
      <c r="CW9" s="79">
        <f>'Sectoral Constraints Fig 2-3 AR'!CW9</f>
        <v>0</v>
      </c>
      <c r="CX9" s="79">
        <f>'Sectoral Constraints Fig 2-3 AR'!CX9</f>
        <v>0</v>
      </c>
      <c r="CY9" s="79">
        <f>'Sectoral Constraints Fig 2-3 AR'!CY9</f>
        <v>0</v>
      </c>
      <c r="CZ9" s="79">
        <f>'Sectoral Constraints Fig 2-3 AR'!CZ9</f>
        <v>0</v>
      </c>
      <c r="DA9" s="79">
        <f>'Sectoral Constraints Fig 2-3 AR'!DA9</f>
        <v>0</v>
      </c>
      <c r="DB9" s="79">
        <f>'Sectoral Constraints Fig 2-3 AR'!DB9</f>
        <v>0</v>
      </c>
      <c r="DC9" s="79">
        <f>'Sectoral Constraints Fig 2-3 AR'!DC9</f>
        <v>0</v>
      </c>
      <c r="DD9" s="79">
        <f>'Sectoral Constraints Fig 2-3 AR'!DD9</f>
        <v>0</v>
      </c>
      <c r="DE9" s="79">
        <f>'Sectoral Constraints Fig 2-3 AR'!DE9</f>
        <v>0</v>
      </c>
      <c r="DF9" s="79">
        <f>'Sectoral Constraints Fig 2-3 AR'!DF9</f>
        <v>74</v>
      </c>
      <c r="DG9" s="79">
        <f>'Sectoral Constraints Fig 2-3 AR'!DG9</f>
        <v>90</v>
      </c>
      <c r="DH9" s="79">
        <f>'Sectoral Constraints Fig 2-3 AR'!DH9</f>
        <v>64</v>
      </c>
      <c r="DI9" s="79">
        <f>'Sectoral Constraints Fig 2-3 AR'!DI9</f>
        <v>71</v>
      </c>
      <c r="DJ9" s="79">
        <f>'Sectoral Constraints Fig 2-3 AR'!DJ9</f>
        <v>9</v>
      </c>
      <c r="DK9" s="79">
        <f>'Sectoral Constraints Fig 2-3 AR'!DK9</f>
        <v>27</v>
      </c>
      <c r="DL9" s="79">
        <f>'Sectoral Constraints Fig 2-3 AR'!DL9</f>
        <v>93.665158371040732</v>
      </c>
      <c r="DM9" s="79">
        <f>'Sectoral Constraints Fig 2-3 AR'!DM9</f>
        <v>98.181818181818173</v>
      </c>
      <c r="DN9" s="79">
        <f>'Sectoral Constraints Fig 2-3 AR'!DN9</f>
        <v>56.666666666666664</v>
      </c>
      <c r="DO9" s="79">
        <f>'Sectoral Constraints Fig 2-3 AR'!DO9</f>
        <v>100</v>
      </c>
      <c r="DP9" s="79">
        <f>'Sectoral Constraints Fig 2-3 AR'!DP9</f>
        <v>50</v>
      </c>
      <c r="DQ9" s="79" t="str">
        <f>'Sectoral Constraints Fig 2-3 AR'!DQ9</f>
        <v>-</v>
      </c>
      <c r="DR9" s="79">
        <f>'Sectoral Constraints Fig 2-3 AR'!DR9</f>
        <v>100.1279674074848</v>
      </c>
      <c r="DS9" s="79">
        <f>'Sectoral Constraints Fig 2-3 AR'!DS9</f>
        <v>90.566037735849065</v>
      </c>
      <c r="DT9" s="79">
        <f>'Sectoral Constraints Fig 2-3 AR'!DT9</f>
        <v>91.666666666666657</v>
      </c>
      <c r="DU9" s="79" t="str">
        <f>'Sectoral Constraints Fig 2-3 AR'!DU9</f>
        <v>-</v>
      </c>
      <c r="DV9" s="79">
        <f>'Sectoral Constraints Fig 2-3 AR'!DV9</f>
        <v>80</v>
      </c>
      <c r="DW9" s="79" t="str">
        <f>'Sectoral Constraints Fig 2-3 AR'!DW9</f>
        <v>-</v>
      </c>
      <c r="DX9" s="79">
        <v>66.517857142857125</v>
      </c>
      <c r="DY9" s="79">
        <v>88.235294117647058</v>
      </c>
      <c r="DZ9" s="79">
        <v>47.5</v>
      </c>
      <c r="EA9" s="79" t="s">
        <v>172</v>
      </c>
      <c r="EB9" s="100">
        <v>17.857142857142858</v>
      </c>
      <c r="EC9" s="79" t="s">
        <v>172</v>
      </c>
      <c r="ED9" s="100">
        <v>83.84279475982531</v>
      </c>
      <c r="EE9" s="100">
        <v>100</v>
      </c>
      <c r="EF9" s="100">
        <v>55.000000000000007</v>
      </c>
      <c r="EG9" s="100">
        <v>0</v>
      </c>
      <c r="EH9" s="100">
        <v>34.375</v>
      </c>
      <c r="EI9" s="100">
        <v>0</v>
      </c>
      <c r="EJ9" s="100">
        <v>87.665198237885463</v>
      </c>
      <c r="EK9" s="100">
        <v>96.296296296296305</v>
      </c>
      <c r="EL9" s="100">
        <v>64.705882352941188</v>
      </c>
      <c r="EM9" s="100">
        <v>100</v>
      </c>
      <c r="EN9" s="100">
        <v>34.375</v>
      </c>
      <c r="EO9" s="100">
        <v>0</v>
      </c>
      <c r="EP9" s="100">
        <v>90</v>
      </c>
      <c r="EQ9" s="100">
        <v>89</v>
      </c>
      <c r="ER9" s="100">
        <v>64</v>
      </c>
      <c r="ES9" s="100">
        <v>96</v>
      </c>
      <c r="ET9" s="100">
        <v>50</v>
      </c>
      <c r="EU9" s="100">
        <v>0</v>
      </c>
      <c r="EV9" s="100">
        <v>81.777777777777786</v>
      </c>
      <c r="EW9" s="100">
        <v>94.444444444444457</v>
      </c>
      <c r="EX9" s="100">
        <v>57.142857142857139</v>
      </c>
      <c r="EY9" s="100">
        <v>89.130434782608674</v>
      </c>
      <c r="EZ9" s="100">
        <v>50</v>
      </c>
      <c r="FA9" s="100">
        <v>0</v>
      </c>
    </row>
    <row r="10" spans="1:157" s="80" customFormat="1" ht="16.5" x14ac:dyDescent="0.3">
      <c r="A10" s="78" t="s">
        <v>57</v>
      </c>
      <c r="B10" s="79">
        <f>'Sectoral Constraints Fig 2-3 AR'!B10</f>
        <v>0</v>
      </c>
      <c r="C10" s="79">
        <f>'Sectoral Constraints Fig 2-3 AR'!C10</f>
        <v>0</v>
      </c>
      <c r="D10" s="79">
        <f>'Sectoral Constraints Fig 2-3 AR'!D10</f>
        <v>0</v>
      </c>
      <c r="E10" s="79">
        <f>'Sectoral Constraints Fig 2-3 AR'!E10</f>
        <v>0</v>
      </c>
      <c r="F10" s="79">
        <f>'Sectoral Constraints Fig 2-3 AR'!F10</f>
        <v>0</v>
      </c>
      <c r="G10" s="79">
        <f>'Sectoral Constraints Fig 2-3 AR'!G10</f>
        <v>0</v>
      </c>
      <c r="H10" s="79">
        <f>'Sectoral Constraints Fig 2-3 AR'!H10</f>
        <v>0</v>
      </c>
      <c r="I10" s="79">
        <f>'Sectoral Constraints Fig 2-3 AR'!I10</f>
        <v>0</v>
      </c>
      <c r="J10" s="79">
        <f>'Sectoral Constraints Fig 2-3 AR'!J10</f>
        <v>0</v>
      </c>
      <c r="K10" s="79">
        <f>'Sectoral Constraints Fig 2-3 AR'!K10</f>
        <v>0</v>
      </c>
      <c r="L10" s="79">
        <f>'Sectoral Constraints Fig 2-3 AR'!L10</f>
        <v>0</v>
      </c>
      <c r="M10" s="79">
        <f>'Sectoral Constraints Fig 2-3 AR'!M10</f>
        <v>0</v>
      </c>
      <c r="N10" s="79">
        <f>'Sectoral Constraints Fig 2-3 AR'!N10</f>
        <v>0</v>
      </c>
      <c r="O10" s="79">
        <f>'Sectoral Constraints Fig 2-3 AR'!O10</f>
        <v>0</v>
      </c>
      <c r="P10" s="79">
        <f>'Sectoral Constraints Fig 2-3 AR'!P10</f>
        <v>0</v>
      </c>
      <c r="Q10" s="79">
        <f>'Sectoral Constraints Fig 2-3 AR'!Q10</f>
        <v>0</v>
      </c>
      <c r="R10" s="79">
        <f>'Sectoral Constraints Fig 2-3 AR'!R10</f>
        <v>0</v>
      </c>
      <c r="S10" s="79">
        <f>'Sectoral Constraints Fig 2-3 AR'!S10</f>
        <v>0</v>
      </c>
      <c r="T10" s="79">
        <f>'Sectoral Constraints Fig 2-3 AR'!T10</f>
        <v>0</v>
      </c>
      <c r="U10" s="79">
        <f>'Sectoral Constraints Fig 2-3 AR'!U10</f>
        <v>0</v>
      </c>
      <c r="V10" s="79">
        <f>'Sectoral Constraints Fig 2-3 AR'!V10</f>
        <v>0</v>
      </c>
      <c r="W10" s="79">
        <f>'Sectoral Constraints Fig 2-3 AR'!W10</f>
        <v>0</v>
      </c>
      <c r="X10" s="79">
        <f>'Sectoral Constraints Fig 2-3 AR'!X10</f>
        <v>0</v>
      </c>
      <c r="Y10" s="79">
        <f>'Sectoral Constraints Fig 2-3 AR'!Y10</f>
        <v>0</v>
      </c>
      <c r="Z10" s="79">
        <f>'Sectoral Constraints Fig 2-3 AR'!Z10</f>
        <v>0</v>
      </c>
      <c r="AA10" s="79">
        <f>'Sectoral Constraints Fig 2-3 AR'!AA10</f>
        <v>0</v>
      </c>
      <c r="AB10" s="79">
        <f>'Sectoral Constraints Fig 2-3 AR'!AB10</f>
        <v>0</v>
      </c>
      <c r="AC10" s="79">
        <f>'Sectoral Constraints Fig 2-3 AR'!AC10</f>
        <v>0</v>
      </c>
      <c r="AD10" s="79">
        <f>'Sectoral Constraints Fig 2-3 AR'!AD10</f>
        <v>0</v>
      </c>
      <c r="AE10" s="79">
        <f>'Sectoral Constraints Fig 2-3 AR'!AE10</f>
        <v>0</v>
      </c>
      <c r="AF10" s="79">
        <f>'Sectoral Constraints Fig 2-3 AR'!AF10</f>
        <v>0</v>
      </c>
      <c r="AG10" s="79">
        <f>'Sectoral Constraints Fig 2-3 AR'!AG10</f>
        <v>0</v>
      </c>
      <c r="AH10" s="79">
        <f>'Sectoral Constraints Fig 2-3 AR'!AH10</f>
        <v>0</v>
      </c>
      <c r="AI10" s="79">
        <f>'Sectoral Constraints Fig 2-3 AR'!AI10</f>
        <v>0</v>
      </c>
      <c r="AJ10" s="79">
        <f>'Sectoral Constraints Fig 2-3 AR'!AJ10</f>
        <v>0</v>
      </c>
      <c r="AK10" s="79">
        <f>'Sectoral Constraints Fig 2-3 AR'!AK10</f>
        <v>0</v>
      </c>
      <c r="AL10" s="79">
        <f>'Sectoral Constraints Fig 2-3 AR'!AL10</f>
        <v>0</v>
      </c>
      <c r="AM10" s="79">
        <f>'Sectoral Constraints Fig 2-3 AR'!AM10</f>
        <v>0</v>
      </c>
      <c r="AN10" s="79">
        <f>'Sectoral Constraints Fig 2-3 AR'!AN10</f>
        <v>0</v>
      </c>
      <c r="AO10" s="79">
        <f>'Sectoral Constraints Fig 2-3 AR'!AO10</f>
        <v>0</v>
      </c>
      <c r="AP10" s="79">
        <f>'Sectoral Constraints Fig 2-3 AR'!AP10</f>
        <v>0</v>
      </c>
      <c r="AQ10" s="79">
        <f>'Sectoral Constraints Fig 2-3 AR'!AQ10</f>
        <v>0</v>
      </c>
      <c r="AR10" s="79">
        <f>'Sectoral Constraints Fig 2-3 AR'!AR10</f>
        <v>0</v>
      </c>
      <c r="AS10" s="79">
        <f>'Sectoral Constraints Fig 2-3 AR'!AS10</f>
        <v>0</v>
      </c>
      <c r="AT10" s="79">
        <f>'Sectoral Constraints Fig 2-3 AR'!AT10</f>
        <v>0</v>
      </c>
      <c r="AU10" s="79">
        <f>'Sectoral Constraints Fig 2-3 AR'!AU10</f>
        <v>0</v>
      </c>
      <c r="AV10" s="79">
        <f>'Sectoral Constraints Fig 2-3 AR'!AV10</f>
        <v>0</v>
      </c>
      <c r="AW10" s="79">
        <f>'Sectoral Constraints Fig 2-3 AR'!AW10</f>
        <v>0</v>
      </c>
      <c r="AX10" s="79">
        <f>'Sectoral Constraints Fig 2-3 AR'!AX10</f>
        <v>0</v>
      </c>
      <c r="AY10" s="79">
        <f>'Sectoral Constraints Fig 2-3 AR'!AY10</f>
        <v>0</v>
      </c>
      <c r="AZ10" s="79">
        <f>'Sectoral Constraints Fig 2-3 AR'!AZ10</f>
        <v>0</v>
      </c>
      <c r="BA10" s="79">
        <f>'Sectoral Constraints Fig 2-3 AR'!BA10</f>
        <v>0</v>
      </c>
      <c r="BB10" s="79">
        <f>'Sectoral Constraints Fig 2-3 AR'!BB10</f>
        <v>0</v>
      </c>
      <c r="BC10" s="79">
        <f>'Sectoral Constraints Fig 2-3 AR'!BC10</f>
        <v>0</v>
      </c>
      <c r="BD10" s="79">
        <f>'Sectoral Constraints Fig 2-3 AR'!BD10</f>
        <v>0</v>
      </c>
      <c r="BE10" s="79">
        <f>'Sectoral Constraints Fig 2-3 AR'!BE10</f>
        <v>0</v>
      </c>
      <c r="BF10" s="79">
        <f>'Sectoral Constraints Fig 2-3 AR'!BF10</f>
        <v>0</v>
      </c>
      <c r="BG10" s="79">
        <f>'Sectoral Constraints Fig 2-3 AR'!BG10</f>
        <v>0</v>
      </c>
      <c r="BH10" s="79">
        <f>'Sectoral Constraints Fig 2-3 AR'!BH10</f>
        <v>0</v>
      </c>
      <c r="BI10" s="79">
        <f>'Sectoral Constraints Fig 2-3 AR'!BI10</f>
        <v>0</v>
      </c>
      <c r="BJ10" s="79">
        <f>'Sectoral Constraints Fig 2-3 AR'!BJ10</f>
        <v>0</v>
      </c>
      <c r="BK10" s="79">
        <f>'Sectoral Constraints Fig 2-3 AR'!BK10</f>
        <v>0</v>
      </c>
      <c r="BL10" s="79">
        <f>'Sectoral Constraints Fig 2-3 AR'!BL10</f>
        <v>0</v>
      </c>
      <c r="BM10" s="79">
        <f>'Sectoral Constraints Fig 2-3 AR'!BM10</f>
        <v>0</v>
      </c>
      <c r="BN10" s="79">
        <f>'Sectoral Constraints Fig 2-3 AR'!BN10</f>
        <v>0</v>
      </c>
      <c r="BO10" s="79">
        <f>'Sectoral Constraints Fig 2-3 AR'!BO10</f>
        <v>0</v>
      </c>
      <c r="BP10" s="79">
        <f>'Sectoral Constraints Fig 2-3 AR'!BP10</f>
        <v>0</v>
      </c>
      <c r="BQ10" s="79">
        <f>'Sectoral Constraints Fig 2-3 AR'!BQ10</f>
        <v>0</v>
      </c>
      <c r="BR10" s="79">
        <f>'Sectoral Constraints Fig 2-3 AR'!BR10</f>
        <v>0</v>
      </c>
      <c r="BS10" s="79">
        <f>'Sectoral Constraints Fig 2-3 AR'!BS10</f>
        <v>0</v>
      </c>
      <c r="BT10" s="79">
        <f>'Sectoral Constraints Fig 2-3 AR'!BT10</f>
        <v>0</v>
      </c>
      <c r="BU10" s="79">
        <f>'Sectoral Constraints Fig 2-3 AR'!BU10</f>
        <v>0</v>
      </c>
      <c r="BV10" s="79">
        <f>'Sectoral Constraints Fig 2-3 AR'!BV10</f>
        <v>0</v>
      </c>
      <c r="BW10" s="79">
        <f>'Sectoral Constraints Fig 2-3 AR'!BW10</f>
        <v>0</v>
      </c>
      <c r="BX10" s="79">
        <f>'Sectoral Constraints Fig 2-3 AR'!BX10</f>
        <v>0</v>
      </c>
      <c r="BY10" s="79">
        <f>'Sectoral Constraints Fig 2-3 AR'!BY10</f>
        <v>0</v>
      </c>
      <c r="BZ10" s="79">
        <f>'Sectoral Constraints Fig 2-3 AR'!BZ10</f>
        <v>0</v>
      </c>
      <c r="CA10" s="79">
        <f>'Sectoral Constraints Fig 2-3 AR'!CA10</f>
        <v>0</v>
      </c>
      <c r="CB10" s="79">
        <f>'Sectoral Constraints Fig 2-3 AR'!CB10</f>
        <v>0</v>
      </c>
      <c r="CC10" s="79">
        <f>'Sectoral Constraints Fig 2-3 AR'!CC10</f>
        <v>0</v>
      </c>
      <c r="CD10" s="79">
        <f>'Sectoral Constraints Fig 2-3 AR'!CD10</f>
        <v>0</v>
      </c>
      <c r="CE10" s="79">
        <f>'Sectoral Constraints Fig 2-3 AR'!CE10</f>
        <v>0</v>
      </c>
      <c r="CF10" s="79">
        <f>'Sectoral Constraints Fig 2-3 AR'!CF10</f>
        <v>0</v>
      </c>
      <c r="CG10" s="79">
        <f>'Sectoral Constraints Fig 2-3 AR'!CG10</f>
        <v>0</v>
      </c>
      <c r="CH10" s="79">
        <f>'Sectoral Constraints Fig 2-3 AR'!CH10</f>
        <v>0</v>
      </c>
      <c r="CI10" s="79">
        <f>'Sectoral Constraints Fig 2-3 AR'!CI10</f>
        <v>0</v>
      </c>
      <c r="CJ10" s="79">
        <f>'Sectoral Constraints Fig 2-3 AR'!CJ10</f>
        <v>0</v>
      </c>
      <c r="CK10" s="79">
        <f>'Sectoral Constraints Fig 2-3 AR'!CK10</f>
        <v>0</v>
      </c>
      <c r="CL10" s="79">
        <f>'Sectoral Constraints Fig 2-3 AR'!CL10</f>
        <v>0</v>
      </c>
      <c r="CM10" s="79">
        <f>'Sectoral Constraints Fig 2-3 AR'!CM10</f>
        <v>0</v>
      </c>
      <c r="CN10" s="79">
        <f>'Sectoral Constraints Fig 2-3 AR'!CN10</f>
        <v>0</v>
      </c>
      <c r="CO10" s="79">
        <f>'Sectoral Constraints Fig 2-3 AR'!CO10</f>
        <v>0</v>
      </c>
      <c r="CP10" s="79">
        <f>'Sectoral Constraints Fig 2-3 AR'!CP10</f>
        <v>0</v>
      </c>
      <c r="CQ10" s="79">
        <f>'Sectoral Constraints Fig 2-3 AR'!CQ10</f>
        <v>0</v>
      </c>
      <c r="CR10" s="79">
        <f>'Sectoral Constraints Fig 2-3 AR'!CR10</f>
        <v>0</v>
      </c>
      <c r="CS10" s="79">
        <f>'Sectoral Constraints Fig 2-3 AR'!CS10</f>
        <v>0</v>
      </c>
      <c r="CT10" s="79">
        <f>'Sectoral Constraints Fig 2-3 AR'!CT10</f>
        <v>0</v>
      </c>
      <c r="CU10" s="79">
        <f>'Sectoral Constraints Fig 2-3 AR'!CU10</f>
        <v>0</v>
      </c>
      <c r="CV10" s="79">
        <f>'Sectoral Constraints Fig 2-3 AR'!CV10</f>
        <v>0</v>
      </c>
      <c r="CW10" s="79">
        <f>'Sectoral Constraints Fig 2-3 AR'!CW10</f>
        <v>0</v>
      </c>
      <c r="CX10" s="79">
        <f>'Sectoral Constraints Fig 2-3 AR'!CX10</f>
        <v>0</v>
      </c>
      <c r="CY10" s="79">
        <f>'Sectoral Constraints Fig 2-3 AR'!CY10</f>
        <v>0</v>
      </c>
      <c r="CZ10" s="79">
        <f>'Sectoral Constraints Fig 2-3 AR'!CZ10</f>
        <v>0</v>
      </c>
      <c r="DA10" s="79">
        <f>'Sectoral Constraints Fig 2-3 AR'!DA10</f>
        <v>0</v>
      </c>
      <c r="DB10" s="79">
        <f>'Sectoral Constraints Fig 2-3 AR'!DB10</f>
        <v>0</v>
      </c>
      <c r="DC10" s="79">
        <f>'Sectoral Constraints Fig 2-3 AR'!DC10</f>
        <v>0</v>
      </c>
      <c r="DD10" s="79">
        <f>'Sectoral Constraints Fig 2-3 AR'!DD10</f>
        <v>0</v>
      </c>
      <c r="DE10" s="79">
        <f>'Sectoral Constraints Fig 2-3 AR'!DE10</f>
        <v>0</v>
      </c>
      <c r="DF10" s="79">
        <f>'Sectoral Constraints Fig 2-3 AR'!DF10</f>
        <v>71</v>
      </c>
      <c r="DG10" s="79">
        <f>'Sectoral Constraints Fig 2-3 AR'!DG10</f>
        <v>69</v>
      </c>
      <c r="DH10" s="79">
        <f>'Sectoral Constraints Fig 2-3 AR'!DH10</f>
        <v>14</v>
      </c>
      <c r="DI10" s="79">
        <f>'Sectoral Constraints Fig 2-3 AR'!DI10</f>
        <v>6</v>
      </c>
      <c r="DJ10" s="79">
        <f>'Sectoral Constraints Fig 2-3 AR'!DJ10</f>
        <v>64</v>
      </c>
      <c r="DK10" s="79">
        <f>'Sectoral Constraints Fig 2-3 AR'!DK10</f>
        <v>100</v>
      </c>
      <c r="DL10" s="79">
        <f>'Sectoral Constraints Fig 2-3 AR'!DL10</f>
        <v>57.013574660633495</v>
      </c>
      <c r="DM10" s="79">
        <f>'Sectoral Constraints Fig 2-3 AR'!DM10</f>
        <v>49.090909090909093</v>
      </c>
      <c r="DN10" s="79">
        <f>'Sectoral Constraints Fig 2-3 AR'!DN10</f>
        <v>80</v>
      </c>
      <c r="DO10" s="79">
        <f>'Sectoral Constraints Fig 2-3 AR'!DO10</f>
        <v>11.111111111111109</v>
      </c>
      <c r="DP10" s="79">
        <f>'Sectoral Constraints Fig 2-3 AR'!DP10</f>
        <v>72.727272727272734</v>
      </c>
      <c r="DQ10" s="79">
        <f>'Sectoral Constraints Fig 2-3 AR'!DQ10</f>
        <v>80.672268907563023</v>
      </c>
      <c r="DR10" s="79">
        <f>'Sectoral Constraints Fig 2-3 AR'!DR10</f>
        <v>60.909090909090899</v>
      </c>
      <c r="DS10" s="79">
        <f>'Sectoral Constraints Fig 2-3 AR'!DS10</f>
        <v>47.169811320754718</v>
      </c>
      <c r="DT10" s="79">
        <f>'Sectoral Constraints Fig 2-3 AR'!DT10</f>
        <v>61.111111111111114</v>
      </c>
      <c r="DU10" s="79">
        <f>'Sectoral Constraints Fig 2-3 AR'!DU10</f>
        <v>28.009259259259256</v>
      </c>
      <c r="DV10" s="79">
        <f>'Sectoral Constraints Fig 2-3 AR'!DV10</f>
        <v>68</v>
      </c>
      <c r="DW10" s="79">
        <f>'Sectoral Constraints Fig 2-3 AR'!DW10</f>
        <v>82.758620689655174</v>
      </c>
      <c r="DX10" s="79">
        <v>40.624999999999993</v>
      </c>
      <c r="DY10" s="79">
        <v>41.17647058823529</v>
      </c>
      <c r="DZ10" s="79">
        <v>62.5</v>
      </c>
      <c r="EA10" s="79">
        <v>0</v>
      </c>
      <c r="EB10" s="100">
        <v>53.571428571428569</v>
      </c>
      <c r="EC10" s="79">
        <v>85</v>
      </c>
      <c r="ED10" s="100">
        <v>39.301310043668117</v>
      </c>
      <c r="EE10" s="100">
        <v>62.5</v>
      </c>
      <c r="EF10" s="100">
        <v>42.5</v>
      </c>
      <c r="EG10" s="100">
        <v>20.833333333333325</v>
      </c>
      <c r="EH10" s="100">
        <v>43.75</v>
      </c>
      <c r="EI10" s="100">
        <v>76.923076923076934</v>
      </c>
      <c r="EJ10" s="100">
        <v>51.541850220264315</v>
      </c>
      <c r="EK10" s="100">
        <v>46.296296296296305</v>
      </c>
      <c r="EL10" s="100">
        <v>70.588235294117652</v>
      </c>
      <c r="EM10" s="100">
        <v>47.61904761904762</v>
      </c>
      <c r="EN10" s="100">
        <v>50</v>
      </c>
      <c r="EO10" s="100">
        <v>100</v>
      </c>
      <c r="EP10" s="100">
        <v>53</v>
      </c>
      <c r="EQ10" s="100">
        <v>40</v>
      </c>
      <c r="ER10" s="100">
        <v>92</v>
      </c>
      <c r="ES10" s="100">
        <v>66</v>
      </c>
      <c r="ET10" s="100">
        <v>63</v>
      </c>
      <c r="EU10" s="100">
        <v>81</v>
      </c>
      <c r="EV10" s="100">
        <v>51.111111111111107</v>
      </c>
      <c r="EW10" s="100">
        <v>57.407407407407419</v>
      </c>
      <c r="EX10" s="100">
        <v>65.714285714285708</v>
      </c>
      <c r="EY10" s="100">
        <v>60.869565217391298</v>
      </c>
      <c r="EZ10" s="100">
        <v>64.285714285714292</v>
      </c>
      <c r="FA10" s="100">
        <v>100</v>
      </c>
    </row>
    <row r="11" spans="1:157" s="80" customFormat="1" ht="16.5" x14ac:dyDescent="0.3">
      <c r="A11" s="78" t="s">
        <v>59</v>
      </c>
      <c r="B11" s="79">
        <f>'Sectoral Constraints Fig 2-3 AR'!B11</f>
        <v>0</v>
      </c>
      <c r="C11" s="79">
        <f>'Sectoral Constraints Fig 2-3 AR'!C11</f>
        <v>0</v>
      </c>
      <c r="D11" s="79">
        <f>'Sectoral Constraints Fig 2-3 AR'!D11</f>
        <v>0</v>
      </c>
      <c r="E11" s="79">
        <f>'Sectoral Constraints Fig 2-3 AR'!E11</f>
        <v>0</v>
      </c>
      <c r="F11" s="79">
        <f>'Sectoral Constraints Fig 2-3 AR'!F11</f>
        <v>0</v>
      </c>
      <c r="G11" s="79">
        <f>'Sectoral Constraints Fig 2-3 AR'!G11</f>
        <v>0</v>
      </c>
      <c r="H11" s="79">
        <f>'Sectoral Constraints Fig 2-3 AR'!H11</f>
        <v>0</v>
      </c>
      <c r="I11" s="79">
        <f>'Sectoral Constraints Fig 2-3 AR'!I11</f>
        <v>0</v>
      </c>
      <c r="J11" s="79">
        <f>'Sectoral Constraints Fig 2-3 AR'!J11</f>
        <v>0</v>
      </c>
      <c r="K11" s="79">
        <f>'Sectoral Constraints Fig 2-3 AR'!K11</f>
        <v>0</v>
      </c>
      <c r="L11" s="79">
        <f>'Sectoral Constraints Fig 2-3 AR'!L11</f>
        <v>0</v>
      </c>
      <c r="M11" s="79">
        <f>'Sectoral Constraints Fig 2-3 AR'!M11</f>
        <v>0</v>
      </c>
      <c r="N11" s="79">
        <f>'Sectoral Constraints Fig 2-3 AR'!N11</f>
        <v>0</v>
      </c>
      <c r="O11" s="79">
        <f>'Sectoral Constraints Fig 2-3 AR'!O11</f>
        <v>0</v>
      </c>
      <c r="P11" s="79">
        <f>'Sectoral Constraints Fig 2-3 AR'!P11</f>
        <v>0</v>
      </c>
      <c r="Q11" s="79">
        <f>'Sectoral Constraints Fig 2-3 AR'!Q11</f>
        <v>0</v>
      </c>
      <c r="R11" s="79">
        <f>'Sectoral Constraints Fig 2-3 AR'!R11</f>
        <v>0</v>
      </c>
      <c r="S11" s="79">
        <f>'Sectoral Constraints Fig 2-3 AR'!S11</f>
        <v>0</v>
      </c>
      <c r="T11" s="79">
        <f>'Sectoral Constraints Fig 2-3 AR'!T11</f>
        <v>0</v>
      </c>
      <c r="U11" s="79">
        <f>'Sectoral Constraints Fig 2-3 AR'!U11</f>
        <v>0</v>
      </c>
      <c r="V11" s="79">
        <f>'Sectoral Constraints Fig 2-3 AR'!V11</f>
        <v>0</v>
      </c>
      <c r="W11" s="79">
        <f>'Sectoral Constraints Fig 2-3 AR'!W11</f>
        <v>0</v>
      </c>
      <c r="X11" s="79">
        <f>'Sectoral Constraints Fig 2-3 AR'!X11</f>
        <v>0</v>
      </c>
      <c r="Y11" s="79">
        <f>'Sectoral Constraints Fig 2-3 AR'!Y11</f>
        <v>0</v>
      </c>
      <c r="Z11" s="79">
        <f>'Sectoral Constraints Fig 2-3 AR'!Z11</f>
        <v>0</v>
      </c>
      <c r="AA11" s="79">
        <f>'Sectoral Constraints Fig 2-3 AR'!AA11</f>
        <v>0</v>
      </c>
      <c r="AB11" s="79">
        <f>'Sectoral Constraints Fig 2-3 AR'!AB11</f>
        <v>0</v>
      </c>
      <c r="AC11" s="79">
        <f>'Sectoral Constraints Fig 2-3 AR'!AC11</f>
        <v>0</v>
      </c>
      <c r="AD11" s="79">
        <f>'Sectoral Constraints Fig 2-3 AR'!AD11</f>
        <v>0</v>
      </c>
      <c r="AE11" s="79">
        <f>'Sectoral Constraints Fig 2-3 AR'!AE11</f>
        <v>0</v>
      </c>
      <c r="AF11" s="79">
        <f>'Sectoral Constraints Fig 2-3 AR'!AF11</f>
        <v>0</v>
      </c>
      <c r="AG11" s="79">
        <f>'Sectoral Constraints Fig 2-3 AR'!AG11</f>
        <v>0</v>
      </c>
      <c r="AH11" s="79">
        <f>'Sectoral Constraints Fig 2-3 AR'!AH11</f>
        <v>0</v>
      </c>
      <c r="AI11" s="79">
        <f>'Sectoral Constraints Fig 2-3 AR'!AI11</f>
        <v>0</v>
      </c>
      <c r="AJ11" s="79">
        <f>'Sectoral Constraints Fig 2-3 AR'!AJ11</f>
        <v>0</v>
      </c>
      <c r="AK11" s="79">
        <f>'Sectoral Constraints Fig 2-3 AR'!AK11</f>
        <v>0</v>
      </c>
      <c r="AL11" s="79">
        <f>'Sectoral Constraints Fig 2-3 AR'!AL11</f>
        <v>0</v>
      </c>
      <c r="AM11" s="79">
        <f>'Sectoral Constraints Fig 2-3 AR'!AM11</f>
        <v>0</v>
      </c>
      <c r="AN11" s="79">
        <f>'Sectoral Constraints Fig 2-3 AR'!AN11</f>
        <v>0</v>
      </c>
      <c r="AO11" s="79">
        <f>'Sectoral Constraints Fig 2-3 AR'!AO11</f>
        <v>0</v>
      </c>
      <c r="AP11" s="79">
        <f>'Sectoral Constraints Fig 2-3 AR'!AP11</f>
        <v>0</v>
      </c>
      <c r="AQ11" s="79">
        <f>'Sectoral Constraints Fig 2-3 AR'!AQ11</f>
        <v>0</v>
      </c>
      <c r="AR11" s="79">
        <f>'Sectoral Constraints Fig 2-3 AR'!AR11</f>
        <v>0</v>
      </c>
      <c r="AS11" s="79">
        <f>'Sectoral Constraints Fig 2-3 AR'!AS11</f>
        <v>0</v>
      </c>
      <c r="AT11" s="79">
        <f>'Sectoral Constraints Fig 2-3 AR'!AT11</f>
        <v>0</v>
      </c>
      <c r="AU11" s="79">
        <f>'Sectoral Constraints Fig 2-3 AR'!AU11</f>
        <v>0</v>
      </c>
      <c r="AV11" s="79">
        <f>'Sectoral Constraints Fig 2-3 AR'!AV11</f>
        <v>0</v>
      </c>
      <c r="AW11" s="79">
        <f>'Sectoral Constraints Fig 2-3 AR'!AW11</f>
        <v>0</v>
      </c>
      <c r="AX11" s="79">
        <f>'Sectoral Constraints Fig 2-3 AR'!AX11</f>
        <v>0</v>
      </c>
      <c r="AY11" s="79">
        <f>'Sectoral Constraints Fig 2-3 AR'!AY11</f>
        <v>0</v>
      </c>
      <c r="AZ11" s="79">
        <f>'Sectoral Constraints Fig 2-3 AR'!AZ11</f>
        <v>0</v>
      </c>
      <c r="BA11" s="79">
        <f>'Sectoral Constraints Fig 2-3 AR'!BA11</f>
        <v>0</v>
      </c>
      <c r="BB11" s="79">
        <f>'Sectoral Constraints Fig 2-3 AR'!BB11</f>
        <v>0</v>
      </c>
      <c r="BC11" s="79">
        <f>'Sectoral Constraints Fig 2-3 AR'!BC11</f>
        <v>0</v>
      </c>
      <c r="BD11" s="79">
        <f>'Sectoral Constraints Fig 2-3 AR'!BD11</f>
        <v>0</v>
      </c>
      <c r="BE11" s="79">
        <f>'Sectoral Constraints Fig 2-3 AR'!BE11</f>
        <v>0</v>
      </c>
      <c r="BF11" s="79">
        <f>'Sectoral Constraints Fig 2-3 AR'!BF11</f>
        <v>0</v>
      </c>
      <c r="BG11" s="79">
        <f>'Sectoral Constraints Fig 2-3 AR'!BG11</f>
        <v>0</v>
      </c>
      <c r="BH11" s="79">
        <f>'Sectoral Constraints Fig 2-3 AR'!BH11</f>
        <v>0</v>
      </c>
      <c r="BI11" s="79">
        <f>'Sectoral Constraints Fig 2-3 AR'!BI11</f>
        <v>0</v>
      </c>
      <c r="BJ11" s="79">
        <f>'Sectoral Constraints Fig 2-3 AR'!BJ11</f>
        <v>0</v>
      </c>
      <c r="BK11" s="79">
        <f>'Sectoral Constraints Fig 2-3 AR'!BK11</f>
        <v>0</v>
      </c>
      <c r="BL11" s="79">
        <f>'Sectoral Constraints Fig 2-3 AR'!BL11</f>
        <v>0</v>
      </c>
      <c r="BM11" s="79">
        <f>'Sectoral Constraints Fig 2-3 AR'!BM11</f>
        <v>0</v>
      </c>
      <c r="BN11" s="79">
        <f>'Sectoral Constraints Fig 2-3 AR'!BN11</f>
        <v>0</v>
      </c>
      <c r="BO11" s="79">
        <f>'Sectoral Constraints Fig 2-3 AR'!BO11</f>
        <v>0</v>
      </c>
      <c r="BP11" s="79">
        <f>'Sectoral Constraints Fig 2-3 AR'!BP11</f>
        <v>0</v>
      </c>
      <c r="BQ11" s="79">
        <f>'Sectoral Constraints Fig 2-3 AR'!BQ11</f>
        <v>0</v>
      </c>
      <c r="BR11" s="79">
        <f>'Sectoral Constraints Fig 2-3 AR'!BR11</f>
        <v>0</v>
      </c>
      <c r="BS11" s="79">
        <f>'Sectoral Constraints Fig 2-3 AR'!BS11</f>
        <v>0</v>
      </c>
      <c r="BT11" s="79">
        <f>'Sectoral Constraints Fig 2-3 AR'!BT11</f>
        <v>0</v>
      </c>
      <c r="BU11" s="79">
        <f>'Sectoral Constraints Fig 2-3 AR'!BU11</f>
        <v>0</v>
      </c>
      <c r="BV11" s="79">
        <f>'Sectoral Constraints Fig 2-3 AR'!BV11</f>
        <v>0</v>
      </c>
      <c r="BW11" s="79">
        <f>'Sectoral Constraints Fig 2-3 AR'!BW11</f>
        <v>0</v>
      </c>
      <c r="BX11" s="79">
        <f>'Sectoral Constraints Fig 2-3 AR'!BX11</f>
        <v>0</v>
      </c>
      <c r="BY11" s="79">
        <f>'Sectoral Constraints Fig 2-3 AR'!BY11</f>
        <v>0</v>
      </c>
      <c r="BZ11" s="79">
        <f>'Sectoral Constraints Fig 2-3 AR'!BZ11</f>
        <v>0</v>
      </c>
      <c r="CA11" s="79">
        <f>'Sectoral Constraints Fig 2-3 AR'!CA11</f>
        <v>0</v>
      </c>
      <c r="CB11" s="79">
        <f>'Sectoral Constraints Fig 2-3 AR'!CB11</f>
        <v>0</v>
      </c>
      <c r="CC11" s="79">
        <f>'Sectoral Constraints Fig 2-3 AR'!CC11</f>
        <v>0</v>
      </c>
      <c r="CD11" s="79">
        <f>'Sectoral Constraints Fig 2-3 AR'!CD11</f>
        <v>0</v>
      </c>
      <c r="CE11" s="79">
        <f>'Sectoral Constraints Fig 2-3 AR'!CE11</f>
        <v>0</v>
      </c>
      <c r="CF11" s="79">
        <f>'Sectoral Constraints Fig 2-3 AR'!CF11</f>
        <v>0</v>
      </c>
      <c r="CG11" s="79">
        <f>'Sectoral Constraints Fig 2-3 AR'!CG11</f>
        <v>0</v>
      </c>
      <c r="CH11" s="79">
        <f>'Sectoral Constraints Fig 2-3 AR'!CH11</f>
        <v>0</v>
      </c>
      <c r="CI11" s="79">
        <f>'Sectoral Constraints Fig 2-3 AR'!CI11</f>
        <v>0</v>
      </c>
      <c r="CJ11" s="79">
        <f>'Sectoral Constraints Fig 2-3 AR'!CJ11</f>
        <v>0</v>
      </c>
      <c r="CK11" s="79">
        <f>'Sectoral Constraints Fig 2-3 AR'!CK11</f>
        <v>0</v>
      </c>
      <c r="CL11" s="79">
        <f>'Sectoral Constraints Fig 2-3 AR'!CL11</f>
        <v>0</v>
      </c>
      <c r="CM11" s="79">
        <f>'Sectoral Constraints Fig 2-3 AR'!CM11</f>
        <v>0</v>
      </c>
      <c r="CN11" s="79">
        <f>'Sectoral Constraints Fig 2-3 AR'!CN11</f>
        <v>0</v>
      </c>
      <c r="CO11" s="79">
        <f>'Sectoral Constraints Fig 2-3 AR'!CO11</f>
        <v>0</v>
      </c>
      <c r="CP11" s="79">
        <f>'Sectoral Constraints Fig 2-3 AR'!CP11</f>
        <v>0</v>
      </c>
      <c r="CQ11" s="79">
        <f>'Sectoral Constraints Fig 2-3 AR'!CQ11</f>
        <v>0</v>
      </c>
      <c r="CR11" s="79">
        <f>'Sectoral Constraints Fig 2-3 AR'!CR11</f>
        <v>0</v>
      </c>
      <c r="CS11" s="79">
        <f>'Sectoral Constraints Fig 2-3 AR'!CS11</f>
        <v>0</v>
      </c>
      <c r="CT11" s="79">
        <f>'Sectoral Constraints Fig 2-3 AR'!CT11</f>
        <v>0</v>
      </c>
      <c r="CU11" s="79">
        <f>'Sectoral Constraints Fig 2-3 AR'!CU11</f>
        <v>0</v>
      </c>
      <c r="CV11" s="79">
        <f>'Sectoral Constraints Fig 2-3 AR'!CV11</f>
        <v>0</v>
      </c>
      <c r="CW11" s="79">
        <f>'Sectoral Constraints Fig 2-3 AR'!CW11</f>
        <v>0</v>
      </c>
      <c r="CX11" s="79">
        <f>'Sectoral Constraints Fig 2-3 AR'!CX11</f>
        <v>0</v>
      </c>
      <c r="CY11" s="79">
        <f>'Sectoral Constraints Fig 2-3 AR'!CY11</f>
        <v>0</v>
      </c>
      <c r="CZ11" s="79">
        <f>'Sectoral Constraints Fig 2-3 AR'!CZ11</f>
        <v>0</v>
      </c>
      <c r="DA11" s="79">
        <f>'Sectoral Constraints Fig 2-3 AR'!DA11</f>
        <v>0</v>
      </c>
      <c r="DB11" s="79">
        <f>'Sectoral Constraints Fig 2-3 AR'!DB11</f>
        <v>0</v>
      </c>
      <c r="DC11" s="79">
        <f>'Sectoral Constraints Fig 2-3 AR'!DC11</f>
        <v>0</v>
      </c>
      <c r="DD11" s="79">
        <f>'Sectoral Constraints Fig 2-3 AR'!DD11</f>
        <v>0</v>
      </c>
      <c r="DE11" s="79">
        <f>'Sectoral Constraints Fig 2-3 AR'!DE11</f>
        <v>0</v>
      </c>
      <c r="DF11" s="79">
        <f>'Sectoral Constraints Fig 2-3 AR'!DF11</f>
        <v>61</v>
      </c>
      <c r="DG11" s="79">
        <f>'Sectoral Constraints Fig 2-3 AR'!DG11</f>
        <v>33</v>
      </c>
      <c r="DH11" s="79">
        <f>'Sectoral Constraints Fig 2-3 AR'!DH11</f>
        <v>29</v>
      </c>
      <c r="DI11" s="79">
        <f>'Sectoral Constraints Fig 2-3 AR'!DI11</f>
        <v>6</v>
      </c>
      <c r="DJ11" s="79">
        <f>'Sectoral Constraints Fig 2-3 AR'!DJ11</f>
        <v>45</v>
      </c>
      <c r="DK11" s="79">
        <f>'Sectoral Constraints Fig 2-3 AR'!DK11</f>
        <v>13</v>
      </c>
      <c r="DL11" s="79">
        <f>'Sectoral Constraints Fig 2-3 AR'!DL11</f>
        <v>44.343891402714931</v>
      </c>
      <c r="DM11" s="79">
        <f>'Sectoral Constraints Fig 2-3 AR'!DM11</f>
        <v>36.363636363636367</v>
      </c>
      <c r="DN11" s="79">
        <f>'Sectoral Constraints Fig 2-3 AR'!DN11</f>
        <v>13.333333333333334</v>
      </c>
      <c r="DO11" s="79">
        <f>'Sectoral Constraints Fig 2-3 AR'!DO11</f>
        <v>2.2222222222222219</v>
      </c>
      <c r="DP11" s="79">
        <f>'Sectoral Constraints Fig 2-3 AR'!DP11</f>
        <v>36.363636363636367</v>
      </c>
      <c r="DQ11" s="79">
        <f>'Sectoral Constraints Fig 2-3 AR'!DQ11</f>
        <v>0</v>
      </c>
      <c r="DR11" s="79">
        <f>'Sectoral Constraints Fig 2-3 AR'!DR11</f>
        <v>43.636363636363626</v>
      </c>
      <c r="DS11" s="79">
        <f>'Sectoral Constraints Fig 2-3 AR'!DS11</f>
        <v>16.981132075471699</v>
      </c>
      <c r="DT11" s="79">
        <f>'Sectoral Constraints Fig 2-3 AR'!DT11</f>
        <v>5.5555555555555554</v>
      </c>
      <c r="DU11" s="79">
        <f>'Sectoral Constraints Fig 2-3 AR'!DU11</f>
        <v>0</v>
      </c>
      <c r="DV11" s="79">
        <f>'Sectoral Constraints Fig 2-3 AR'!DV11</f>
        <v>52</v>
      </c>
      <c r="DW11" s="79">
        <f>'Sectoral Constraints Fig 2-3 AR'!DW11</f>
        <v>0</v>
      </c>
      <c r="DX11" s="79">
        <v>28.124999999999993</v>
      </c>
      <c r="DY11" s="79">
        <v>27.450980392156854</v>
      </c>
      <c r="DZ11" s="79">
        <v>20</v>
      </c>
      <c r="EA11" s="79">
        <v>0</v>
      </c>
      <c r="EB11" s="100">
        <v>39.285714285714285</v>
      </c>
      <c r="EC11" s="79">
        <v>7.5851851851851855</v>
      </c>
      <c r="ED11" s="100">
        <v>29.257641921397376</v>
      </c>
      <c r="EE11" s="100">
        <v>8.9285714285714253</v>
      </c>
      <c r="EF11" s="100">
        <v>15</v>
      </c>
      <c r="EG11" s="100">
        <v>0</v>
      </c>
      <c r="EH11" s="100">
        <v>43.75</v>
      </c>
      <c r="EI11" s="100">
        <v>3.8461538461538463</v>
      </c>
      <c r="EJ11" s="100">
        <v>29.515418502202646</v>
      </c>
      <c r="EK11" s="100">
        <v>14.814814814814817</v>
      </c>
      <c r="EL11" s="100">
        <v>8.8235294117647065</v>
      </c>
      <c r="EM11" s="100">
        <v>28.571428571428569</v>
      </c>
      <c r="EN11" s="100">
        <v>6.25</v>
      </c>
      <c r="EO11" s="100">
        <v>3.5714285714285712</v>
      </c>
      <c r="EP11" s="100">
        <v>38</v>
      </c>
      <c r="EQ11" s="100">
        <v>17</v>
      </c>
      <c r="ER11" s="100">
        <v>0</v>
      </c>
      <c r="ES11" s="100">
        <v>13</v>
      </c>
      <c r="ET11" s="100">
        <v>9</v>
      </c>
      <c r="EU11" s="100">
        <v>0</v>
      </c>
      <c r="EV11" s="100">
        <v>45.777777777777786</v>
      </c>
      <c r="EW11" s="100">
        <v>12.962962962962965</v>
      </c>
      <c r="EX11" s="100">
        <v>8.5714285714285712</v>
      </c>
      <c r="EY11" s="100">
        <v>10.869565217391303</v>
      </c>
      <c r="EZ11" s="100">
        <v>42.857142857142854</v>
      </c>
      <c r="FA11" s="100">
        <v>0</v>
      </c>
    </row>
    <row r="12" spans="1:157" s="80" customFormat="1" ht="16.5" x14ac:dyDescent="0.3">
      <c r="A12" s="78" t="s">
        <v>61</v>
      </c>
      <c r="B12" s="79">
        <f>'Sectoral Constraints Fig 2-3 AR'!B12</f>
        <v>0</v>
      </c>
      <c r="C12" s="79">
        <f>'Sectoral Constraints Fig 2-3 AR'!C12</f>
        <v>0</v>
      </c>
      <c r="D12" s="79">
        <f>'Sectoral Constraints Fig 2-3 AR'!D12</f>
        <v>0</v>
      </c>
      <c r="E12" s="79">
        <f>'Sectoral Constraints Fig 2-3 AR'!E12</f>
        <v>0</v>
      </c>
      <c r="F12" s="79">
        <f>'Sectoral Constraints Fig 2-3 AR'!F12</f>
        <v>0</v>
      </c>
      <c r="G12" s="79">
        <f>'Sectoral Constraints Fig 2-3 AR'!G12</f>
        <v>0</v>
      </c>
      <c r="H12" s="79">
        <f>'Sectoral Constraints Fig 2-3 AR'!H12</f>
        <v>0</v>
      </c>
      <c r="I12" s="79">
        <f>'Sectoral Constraints Fig 2-3 AR'!I12</f>
        <v>0</v>
      </c>
      <c r="J12" s="79">
        <f>'Sectoral Constraints Fig 2-3 AR'!J12</f>
        <v>0</v>
      </c>
      <c r="K12" s="79">
        <f>'Sectoral Constraints Fig 2-3 AR'!K12</f>
        <v>0</v>
      </c>
      <c r="L12" s="79">
        <f>'Sectoral Constraints Fig 2-3 AR'!L12</f>
        <v>0</v>
      </c>
      <c r="M12" s="79">
        <f>'Sectoral Constraints Fig 2-3 AR'!M12</f>
        <v>0</v>
      </c>
      <c r="N12" s="79">
        <f>'Sectoral Constraints Fig 2-3 AR'!N12</f>
        <v>0</v>
      </c>
      <c r="O12" s="79">
        <f>'Sectoral Constraints Fig 2-3 AR'!O12</f>
        <v>0</v>
      </c>
      <c r="P12" s="79">
        <f>'Sectoral Constraints Fig 2-3 AR'!P12</f>
        <v>0</v>
      </c>
      <c r="Q12" s="79">
        <f>'Sectoral Constraints Fig 2-3 AR'!Q12</f>
        <v>0</v>
      </c>
      <c r="R12" s="79">
        <f>'Sectoral Constraints Fig 2-3 AR'!R12</f>
        <v>0</v>
      </c>
      <c r="S12" s="79">
        <f>'Sectoral Constraints Fig 2-3 AR'!S12</f>
        <v>0</v>
      </c>
      <c r="T12" s="79">
        <f>'Sectoral Constraints Fig 2-3 AR'!T12</f>
        <v>0</v>
      </c>
      <c r="U12" s="79">
        <f>'Sectoral Constraints Fig 2-3 AR'!U12</f>
        <v>0</v>
      </c>
      <c r="V12" s="79">
        <f>'Sectoral Constraints Fig 2-3 AR'!V12</f>
        <v>0</v>
      </c>
      <c r="W12" s="79">
        <f>'Sectoral Constraints Fig 2-3 AR'!W12</f>
        <v>0</v>
      </c>
      <c r="X12" s="79">
        <f>'Sectoral Constraints Fig 2-3 AR'!X12</f>
        <v>0</v>
      </c>
      <c r="Y12" s="79">
        <f>'Sectoral Constraints Fig 2-3 AR'!Y12</f>
        <v>0</v>
      </c>
      <c r="Z12" s="79">
        <f>'Sectoral Constraints Fig 2-3 AR'!Z12</f>
        <v>0</v>
      </c>
      <c r="AA12" s="79">
        <f>'Sectoral Constraints Fig 2-3 AR'!AA12</f>
        <v>0</v>
      </c>
      <c r="AB12" s="79">
        <f>'Sectoral Constraints Fig 2-3 AR'!AB12</f>
        <v>0</v>
      </c>
      <c r="AC12" s="79">
        <f>'Sectoral Constraints Fig 2-3 AR'!AC12</f>
        <v>0</v>
      </c>
      <c r="AD12" s="79">
        <f>'Sectoral Constraints Fig 2-3 AR'!AD12</f>
        <v>0</v>
      </c>
      <c r="AE12" s="79">
        <f>'Sectoral Constraints Fig 2-3 AR'!AE12</f>
        <v>0</v>
      </c>
      <c r="AF12" s="79">
        <f>'Sectoral Constraints Fig 2-3 AR'!AF12</f>
        <v>0</v>
      </c>
      <c r="AG12" s="79">
        <f>'Sectoral Constraints Fig 2-3 AR'!AG12</f>
        <v>0</v>
      </c>
      <c r="AH12" s="79">
        <f>'Sectoral Constraints Fig 2-3 AR'!AH12</f>
        <v>0</v>
      </c>
      <c r="AI12" s="79">
        <f>'Sectoral Constraints Fig 2-3 AR'!AI12</f>
        <v>0</v>
      </c>
      <c r="AJ12" s="79">
        <f>'Sectoral Constraints Fig 2-3 AR'!AJ12</f>
        <v>0</v>
      </c>
      <c r="AK12" s="79">
        <f>'Sectoral Constraints Fig 2-3 AR'!AK12</f>
        <v>0</v>
      </c>
      <c r="AL12" s="79">
        <f>'Sectoral Constraints Fig 2-3 AR'!AL12</f>
        <v>0</v>
      </c>
      <c r="AM12" s="79">
        <f>'Sectoral Constraints Fig 2-3 AR'!AM12</f>
        <v>0</v>
      </c>
      <c r="AN12" s="79">
        <f>'Sectoral Constraints Fig 2-3 AR'!AN12</f>
        <v>0</v>
      </c>
      <c r="AO12" s="79">
        <f>'Sectoral Constraints Fig 2-3 AR'!AO12</f>
        <v>0</v>
      </c>
      <c r="AP12" s="79">
        <f>'Sectoral Constraints Fig 2-3 AR'!AP12</f>
        <v>0</v>
      </c>
      <c r="AQ12" s="79">
        <f>'Sectoral Constraints Fig 2-3 AR'!AQ12</f>
        <v>0</v>
      </c>
      <c r="AR12" s="79">
        <f>'Sectoral Constraints Fig 2-3 AR'!AR12</f>
        <v>0</v>
      </c>
      <c r="AS12" s="79">
        <f>'Sectoral Constraints Fig 2-3 AR'!AS12</f>
        <v>0</v>
      </c>
      <c r="AT12" s="79">
        <f>'Sectoral Constraints Fig 2-3 AR'!AT12</f>
        <v>0</v>
      </c>
      <c r="AU12" s="79">
        <f>'Sectoral Constraints Fig 2-3 AR'!AU12</f>
        <v>0</v>
      </c>
      <c r="AV12" s="79">
        <f>'Sectoral Constraints Fig 2-3 AR'!AV12</f>
        <v>0</v>
      </c>
      <c r="AW12" s="79">
        <f>'Sectoral Constraints Fig 2-3 AR'!AW12</f>
        <v>0</v>
      </c>
      <c r="AX12" s="79">
        <f>'Sectoral Constraints Fig 2-3 AR'!AX12</f>
        <v>0</v>
      </c>
      <c r="AY12" s="79">
        <f>'Sectoral Constraints Fig 2-3 AR'!AY12</f>
        <v>0</v>
      </c>
      <c r="AZ12" s="79">
        <f>'Sectoral Constraints Fig 2-3 AR'!AZ12</f>
        <v>0</v>
      </c>
      <c r="BA12" s="79">
        <f>'Sectoral Constraints Fig 2-3 AR'!BA12</f>
        <v>0</v>
      </c>
      <c r="BB12" s="79">
        <f>'Sectoral Constraints Fig 2-3 AR'!BB12</f>
        <v>0</v>
      </c>
      <c r="BC12" s="79">
        <f>'Sectoral Constraints Fig 2-3 AR'!BC12</f>
        <v>0</v>
      </c>
      <c r="BD12" s="79">
        <f>'Sectoral Constraints Fig 2-3 AR'!BD12</f>
        <v>0</v>
      </c>
      <c r="BE12" s="79">
        <f>'Sectoral Constraints Fig 2-3 AR'!BE12</f>
        <v>0</v>
      </c>
      <c r="BF12" s="79">
        <f>'Sectoral Constraints Fig 2-3 AR'!BF12</f>
        <v>0</v>
      </c>
      <c r="BG12" s="79">
        <f>'Sectoral Constraints Fig 2-3 AR'!BG12</f>
        <v>0</v>
      </c>
      <c r="BH12" s="79">
        <f>'Sectoral Constraints Fig 2-3 AR'!BH12</f>
        <v>0</v>
      </c>
      <c r="BI12" s="79">
        <f>'Sectoral Constraints Fig 2-3 AR'!BI12</f>
        <v>0</v>
      </c>
      <c r="BJ12" s="79">
        <f>'Sectoral Constraints Fig 2-3 AR'!BJ12</f>
        <v>0</v>
      </c>
      <c r="BK12" s="79">
        <f>'Sectoral Constraints Fig 2-3 AR'!BK12</f>
        <v>0</v>
      </c>
      <c r="BL12" s="79">
        <f>'Sectoral Constraints Fig 2-3 AR'!BL12</f>
        <v>0</v>
      </c>
      <c r="BM12" s="79">
        <f>'Sectoral Constraints Fig 2-3 AR'!BM12</f>
        <v>0</v>
      </c>
      <c r="BN12" s="79">
        <f>'Sectoral Constraints Fig 2-3 AR'!BN12</f>
        <v>0</v>
      </c>
      <c r="BO12" s="79">
        <f>'Sectoral Constraints Fig 2-3 AR'!BO12</f>
        <v>0</v>
      </c>
      <c r="BP12" s="79">
        <f>'Sectoral Constraints Fig 2-3 AR'!BP12</f>
        <v>0</v>
      </c>
      <c r="BQ12" s="79">
        <f>'Sectoral Constraints Fig 2-3 AR'!BQ12</f>
        <v>0</v>
      </c>
      <c r="BR12" s="79">
        <f>'Sectoral Constraints Fig 2-3 AR'!BR12</f>
        <v>0</v>
      </c>
      <c r="BS12" s="79">
        <f>'Sectoral Constraints Fig 2-3 AR'!BS12</f>
        <v>0</v>
      </c>
      <c r="BT12" s="79">
        <f>'Sectoral Constraints Fig 2-3 AR'!BT12</f>
        <v>0</v>
      </c>
      <c r="BU12" s="79">
        <f>'Sectoral Constraints Fig 2-3 AR'!BU12</f>
        <v>0</v>
      </c>
      <c r="BV12" s="79">
        <f>'Sectoral Constraints Fig 2-3 AR'!BV12</f>
        <v>0</v>
      </c>
      <c r="BW12" s="79">
        <f>'Sectoral Constraints Fig 2-3 AR'!BW12</f>
        <v>0</v>
      </c>
      <c r="BX12" s="79">
        <f>'Sectoral Constraints Fig 2-3 AR'!BX12</f>
        <v>0</v>
      </c>
      <c r="BY12" s="79">
        <f>'Sectoral Constraints Fig 2-3 AR'!BY12</f>
        <v>0</v>
      </c>
      <c r="BZ12" s="79">
        <f>'Sectoral Constraints Fig 2-3 AR'!BZ12</f>
        <v>0</v>
      </c>
      <c r="CA12" s="79">
        <f>'Sectoral Constraints Fig 2-3 AR'!CA12</f>
        <v>0</v>
      </c>
      <c r="CB12" s="79">
        <f>'Sectoral Constraints Fig 2-3 AR'!CB12</f>
        <v>0</v>
      </c>
      <c r="CC12" s="79">
        <f>'Sectoral Constraints Fig 2-3 AR'!CC12</f>
        <v>0</v>
      </c>
      <c r="CD12" s="79">
        <f>'Sectoral Constraints Fig 2-3 AR'!CD12</f>
        <v>0</v>
      </c>
      <c r="CE12" s="79">
        <f>'Sectoral Constraints Fig 2-3 AR'!CE12</f>
        <v>0</v>
      </c>
      <c r="CF12" s="79">
        <f>'Sectoral Constraints Fig 2-3 AR'!CF12</f>
        <v>0</v>
      </c>
      <c r="CG12" s="79">
        <f>'Sectoral Constraints Fig 2-3 AR'!CG12</f>
        <v>0</v>
      </c>
      <c r="CH12" s="79">
        <f>'Sectoral Constraints Fig 2-3 AR'!CH12</f>
        <v>0</v>
      </c>
      <c r="CI12" s="79">
        <f>'Sectoral Constraints Fig 2-3 AR'!CI12</f>
        <v>0</v>
      </c>
      <c r="CJ12" s="79">
        <f>'Sectoral Constraints Fig 2-3 AR'!CJ12</f>
        <v>0</v>
      </c>
      <c r="CK12" s="79">
        <f>'Sectoral Constraints Fig 2-3 AR'!CK12</f>
        <v>0</v>
      </c>
      <c r="CL12" s="79">
        <f>'Sectoral Constraints Fig 2-3 AR'!CL12</f>
        <v>0</v>
      </c>
      <c r="CM12" s="79">
        <f>'Sectoral Constraints Fig 2-3 AR'!CM12</f>
        <v>0</v>
      </c>
      <c r="CN12" s="79">
        <f>'Sectoral Constraints Fig 2-3 AR'!CN12</f>
        <v>0</v>
      </c>
      <c r="CO12" s="79">
        <f>'Sectoral Constraints Fig 2-3 AR'!CO12</f>
        <v>0</v>
      </c>
      <c r="CP12" s="79">
        <f>'Sectoral Constraints Fig 2-3 AR'!CP12</f>
        <v>0</v>
      </c>
      <c r="CQ12" s="79">
        <f>'Sectoral Constraints Fig 2-3 AR'!CQ12</f>
        <v>0</v>
      </c>
      <c r="CR12" s="79">
        <f>'Sectoral Constraints Fig 2-3 AR'!CR12</f>
        <v>0</v>
      </c>
      <c r="CS12" s="79">
        <f>'Sectoral Constraints Fig 2-3 AR'!CS12</f>
        <v>0</v>
      </c>
      <c r="CT12" s="79">
        <f>'Sectoral Constraints Fig 2-3 AR'!CT12</f>
        <v>0</v>
      </c>
      <c r="CU12" s="79">
        <f>'Sectoral Constraints Fig 2-3 AR'!CU12</f>
        <v>0</v>
      </c>
      <c r="CV12" s="79">
        <f>'Sectoral Constraints Fig 2-3 AR'!CV12</f>
        <v>0</v>
      </c>
      <c r="CW12" s="79">
        <f>'Sectoral Constraints Fig 2-3 AR'!CW12</f>
        <v>0</v>
      </c>
      <c r="CX12" s="79">
        <f>'Sectoral Constraints Fig 2-3 AR'!CX12</f>
        <v>0</v>
      </c>
      <c r="CY12" s="79">
        <f>'Sectoral Constraints Fig 2-3 AR'!CY12</f>
        <v>0</v>
      </c>
      <c r="CZ12" s="79">
        <f>'Sectoral Constraints Fig 2-3 AR'!CZ12</f>
        <v>0</v>
      </c>
      <c r="DA12" s="79">
        <f>'Sectoral Constraints Fig 2-3 AR'!DA12</f>
        <v>0</v>
      </c>
      <c r="DB12" s="79">
        <f>'Sectoral Constraints Fig 2-3 AR'!DB12</f>
        <v>0</v>
      </c>
      <c r="DC12" s="79">
        <f>'Sectoral Constraints Fig 2-3 AR'!DC12</f>
        <v>0</v>
      </c>
      <c r="DD12" s="79">
        <f>'Sectoral Constraints Fig 2-3 AR'!DD12</f>
        <v>0</v>
      </c>
      <c r="DE12" s="79">
        <f>'Sectoral Constraints Fig 2-3 AR'!DE12</f>
        <v>0</v>
      </c>
      <c r="DF12" s="79">
        <f>'Sectoral Constraints Fig 2-3 AR'!DF12</f>
        <v>53</v>
      </c>
      <c r="DG12" s="79">
        <f>'Sectoral Constraints Fig 2-3 AR'!DG12</f>
        <v>83</v>
      </c>
      <c r="DH12" s="79">
        <f>'Sectoral Constraints Fig 2-3 AR'!DH12</f>
        <v>57</v>
      </c>
      <c r="DI12" s="79">
        <f>'Sectoral Constraints Fig 2-3 AR'!DI12</f>
        <v>35</v>
      </c>
      <c r="DJ12" s="79">
        <f>'Sectoral Constraints Fig 2-3 AR'!DJ12</f>
        <v>45</v>
      </c>
      <c r="DK12" s="79">
        <f>'Sectoral Constraints Fig 2-3 AR'!DK12</f>
        <v>27</v>
      </c>
      <c r="DL12" s="79">
        <f>'Sectoral Constraints Fig 2-3 AR'!DL12</f>
        <v>89.379839620642628</v>
      </c>
      <c r="DM12" s="79">
        <f>'Sectoral Constraints Fig 2-3 AR'!DM12</f>
        <v>92.727272727272734</v>
      </c>
      <c r="DN12" s="79">
        <f>'Sectoral Constraints Fig 2-3 AR'!DN12</f>
        <v>73.333333333333329</v>
      </c>
      <c r="DO12" s="79">
        <f>'Sectoral Constraints Fig 2-3 AR'!DO12</f>
        <v>12.777777777777777</v>
      </c>
      <c r="DP12" s="79">
        <f>'Sectoral Constraints Fig 2-3 AR'!DP12</f>
        <v>68.181818181818173</v>
      </c>
      <c r="DQ12" s="79">
        <f>'Sectoral Constraints Fig 2-3 AR'!DQ12</f>
        <v>18.981710331191298</v>
      </c>
      <c r="DR12" s="79">
        <f>'Sectoral Constraints Fig 2-3 AR'!DR12</f>
        <v>95.454545454545453</v>
      </c>
      <c r="DS12" s="79">
        <f>'Sectoral Constraints Fig 2-3 AR'!DS12</f>
        <v>96.226415094339629</v>
      </c>
      <c r="DT12" s="79">
        <f>'Sectoral Constraints Fig 2-3 AR'!DT12</f>
        <v>83.333333333333343</v>
      </c>
      <c r="DU12" s="79">
        <f>'Sectoral Constraints Fig 2-3 AR'!DU12</f>
        <v>79.718660968660956</v>
      </c>
      <c r="DV12" s="79">
        <f>'Sectoral Constraints Fig 2-3 AR'!DV12</f>
        <v>84</v>
      </c>
      <c r="DW12" s="79">
        <f>'Sectoral Constraints Fig 2-3 AR'!DW12</f>
        <v>79.310344827586206</v>
      </c>
      <c r="DX12" s="79">
        <v>100</v>
      </c>
      <c r="DY12" s="79">
        <v>100</v>
      </c>
      <c r="DZ12" s="79">
        <v>100</v>
      </c>
      <c r="EA12" s="79">
        <v>97.61904761904762</v>
      </c>
      <c r="EB12" s="100">
        <v>100</v>
      </c>
      <c r="EC12" s="79">
        <v>86.666666666666671</v>
      </c>
      <c r="ED12" s="100">
        <v>100</v>
      </c>
      <c r="EE12" s="100">
        <v>98.214285714285722</v>
      </c>
      <c r="EF12" s="100">
        <v>100</v>
      </c>
      <c r="EG12" s="100">
        <v>85.416666666666671</v>
      </c>
      <c r="EH12" s="100">
        <v>100</v>
      </c>
      <c r="EI12" s="100">
        <v>100</v>
      </c>
      <c r="EJ12" s="100">
        <v>100</v>
      </c>
      <c r="EK12" s="100">
        <v>100</v>
      </c>
      <c r="EL12" s="100">
        <v>100</v>
      </c>
      <c r="EM12" s="100">
        <v>100</v>
      </c>
      <c r="EN12" s="100">
        <v>100</v>
      </c>
      <c r="EO12" s="100">
        <v>26.785714285714285</v>
      </c>
      <c r="EP12" s="100">
        <v>100</v>
      </c>
      <c r="EQ12" s="100">
        <v>94</v>
      </c>
      <c r="ER12" s="100">
        <v>100</v>
      </c>
      <c r="ES12" s="100">
        <v>100</v>
      </c>
      <c r="ET12" s="100">
        <v>100</v>
      </c>
      <c r="EU12" s="100">
        <v>36</v>
      </c>
      <c r="EV12" s="100">
        <v>100</v>
      </c>
      <c r="EW12" s="100">
        <v>100</v>
      </c>
      <c r="EX12" s="100">
        <v>100</v>
      </c>
      <c r="EY12" s="100">
        <v>100</v>
      </c>
      <c r="EZ12" s="100">
        <v>100</v>
      </c>
      <c r="FA12" s="100">
        <v>26.984126984126984</v>
      </c>
    </row>
    <row r="13" spans="1:157" s="80" customFormat="1" ht="16.5" x14ac:dyDescent="0.3">
      <c r="A13" s="78" t="s">
        <v>60</v>
      </c>
      <c r="B13" s="79">
        <f>'Sectoral Constraints Fig 2-3 AR'!B13</f>
        <v>0</v>
      </c>
      <c r="C13" s="79">
        <f>'Sectoral Constraints Fig 2-3 AR'!C13</f>
        <v>0</v>
      </c>
      <c r="D13" s="79">
        <f>'Sectoral Constraints Fig 2-3 AR'!D13</f>
        <v>0</v>
      </c>
      <c r="E13" s="79">
        <f>'Sectoral Constraints Fig 2-3 AR'!E13</f>
        <v>0</v>
      </c>
      <c r="F13" s="79">
        <f>'Sectoral Constraints Fig 2-3 AR'!F13</f>
        <v>0</v>
      </c>
      <c r="G13" s="79">
        <f>'Sectoral Constraints Fig 2-3 AR'!G13</f>
        <v>0</v>
      </c>
      <c r="H13" s="79">
        <f>'Sectoral Constraints Fig 2-3 AR'!H13</f>
        <v>0</v>
      </c>
      <c r="I13" s="79">
        <f>'Sectoral Constraints Fig 2-3 AR'!I13</f>
        <v>0</v>
      </c>
      <c r="J13" s="79">
        <f>'Sectoral Constraints Fig 2-3 AR'!J13</f>
        <v>0</v>
      </c>
      <c r="K13" s="79">
        <f>'Sectoral Constraints Fig 2-3 AR'!K13</f>
        <v>0</v>
      </c>
      <c r="L13" s="79">
        <f>'Sectoral Constraints Fig 2-3 AR'!L13</f>
        <v>0</v>
      </c>
      <c r="M13" s="79">
        <f>'Sectoral Constraints Fig 2-3 AR'!M13</f>
        <v>0</v>
      </c>
      <c r="N13" s="79">
        <f>'Sectoral Constraints Fig 2-3 AR'!N13</f>
        <v>0</v>
      </c>
      <c r="O13" s="79">
        <f>'Sectoral Constraints Fig 2-3 AR'!O13</f>
        <v>0</v>
      </c>
      <c r="P13" s="79">
        <f>'Sectoral Constraints Fig 2-3 AR'!P13</f>
        <v>0</v>
      </c>
      <c r="Q13" s="79">
        <f>'Sectoral Constraints Fig 2-3 AR'!Q13</f>
        <v>0</v>
      </c>
      <c r="R13" s="79">
        <f>'Sectoral Constraints Fig 2-3 AR'!R13</f>
        <v>0</v>
      </c>
      <c r="S13" s="79">
        <f>'Sectoral Constraints Fig 2-3 AR'!S13</f>
        <v>0</v>
      </c>
      <c r="T13" s="79">
        <f>'Sectoral Constraints Fig 2-3 AR'!T13</f>
        <v>0</v>
      </c>
      <c r="U13" s="79">
        <f>'Sectoral Constraints Fig 2-3 AR'!U13</f>
        <v>0</v>
      </c>
      <c r="V13" s="79">
        <f>'Sectoral Constraints Fig 2-3 AR'!V13</f>
        <v>0</v>
      </c>
      <c r="W13" s="79">
        <f>'Sectoral Constraints Fig 2-3 AR'!W13</f>
        <v>0</v>
      </c>
      <c r="X13" s="79">
        <f>'Sectoral Constraints Fig 2-3 AR'!X13</f>
        <v>0</v>
      </c>
      <c r="Y13" s="79">
        <f>'Sectoral Constraints Fig 2-3 AR'!Y13</f>
        <v>0</v>
      </c>
      <c r="Z13" s="79">
        <f>'Sectoral Constraints Fig 2-3 AR'!Z13</f>
        <v>0</v>
      </c>
      <c r="AA13" s="79">
        <f>'Sectoral Constraints Fig 2-3 AR'!AA13</f>
        <v>0</v>
      </c>
      <c r="AB13" s="79">
        <f>'Sectoral Constraints Fig 2-3 AR'!AB13</f>
        <v>0</v>
      </c>
      <c r="AC13" s="79">
        <f>'Sectoral Constraints Fig 2-3 AR'!AC13</f>
        <v>0</v>
      </c>
      <c r="AD13" s="79">
        <f>'Sectoral Constraints Fig 2-3 AR'!AD13</f>
        <v>0</v>
      </c>
      <c r="AE13" s="79">
        <f>'Sectoral Constraints Fig 2-3 AR'!AE13</f>
        <v>0</v>
      </c>
      <c r="AF13" s="79">
        <f>'Sectoral Constraints Fig 2-3 AR'!AF13</f>
        <v>0</v>
      </c>
      <c r="AG13" s="79">
        <f>'Sectoral Constraints Fig 2-3 AR'!AG13</f>
        <v>0</v>
      </c>
      <c r="AH13" s="79">
        <f>'Sectoral Constraints Fig 2-3 AR'!AH13</f>
        <v>0</v>
      </c>
      <c r="AI13" s="79">
        <f>'Sectoral Constraints Fig 2-3 AR'!AI13</f>
        <v>0</v>
      </c>
      <c r="AJ13" s="79">
        <f>'Sectoral Constraints Fig 2-3 AR'!AJ13</f>
        <v>0</v>
      </c>
      <c r="AK13" s="79">
        <f>'Sectoral Constraints Fig 2-3 AR'!AK13</f>
        <v>0</v>
      </c>
      <c r="AL13" s="79">
        <f>'Sectoral Constraints Fig 2-3 AR'!AL13</f>
        <v>0</v>
      </c>
      <c r="AM13" s="79">
        <f>'Sectoral Constraints Fig 2-3 AR'!AM13</f>
        <v>0</v>
      </c>
      <c r="AN13" s="79">
        <f>'Sectoral Constraints Fig 2-3 AR'!AN13</f>
        <v>0</v>
      </c>
      <c r="AO13" s="79">
        <f>'Sectoral Constraints Fig 2-3 AR'!AO13</f>
        <v>0</v>
      </c>
      <c r="AP13" s="79">
        <f>'Sectoral Constraints Fig 2-3 AR'!AP13</f>
        <v>0</v>
      </c>
      <c r="AQ13" s="79">
        <f>'Sectoral Constraints Fig 2-3 AR'!AQ13</f>
        <v>0</v>
      </c>
      <c r="AR13" s="79">
        <f>'Sectoral Constraints Fig 2-3 AR'!AR13</f>
        <v>0</v>
      </c>
      <c r="AS13" s="79">
        <f>'Sectoral Constraints Fig 2-3 AR'!AS13</f>
        <v>0</v>
      </c>
      <c r="AT13" s="79">
        <f>'Sectoral Constraints Fig 2-3 AR'!AT13</f>
        <v>0</v>
      </c>
      <c r="AU13" s="79">
        <f>'Sectoral Constraints Fig 2-3 AR'!AU13</f>
        <v>0</v>
      </c>
      <c r="AV13" s="79">
        <f>'Sectoral Constraints Fig 2-3 AR'!AV13</f>
        <v>0</v>
      </c>
      <c r="AW13" s="79">
        <f>'Sectoral Constraints Fig 2-3 AR'!AW13</f>
        <v>0</v>
      </c>
      <c r="AX13" s="79">
        <f>'Sectoral Constraints Fig 2-3 AR'!AX13</f>
        <v>0</v>
      </c>
      <c r="AY13" s="79">
        <f>'Sectoral Constraints Fig 2-3 AR'!AY13</f>
        <v>0</v>
      </c>
      <c r="AZ13" s="79">
        <f>'Sectoral Constraints Fig 2-3 AR'!AZ13</f>
        <v>0</v>
      </c>
      <c r="BA13" s="79">
        <f>'Sectoral Constraints Fig 2-3 AR'!BA13</f>
        <v>0</v>
      </c>
      <c r="BB13" s="79">
        <f>'Sectoral Constraints Fig 2-3 AR'!BB13</f>
        <v>0</v>
      </c>
      <c r="BC13" s="79">
        <f>'Sectoral Constraints Fig 2-3 AR'!BC13</f>
        <v>0</v>
      </c>
      <c r="BD13" s="79">
        <f>'Sectoral Constraints Fig 2-3 AR'!BD13</f>
        <v>0</v>
      </c>
      <c r="BE13" s="79">
        <f>'Sectoral Constraints Fig 2-3 AR'!BE13</f>
        <v>0</v>
      </c>
      <c r="BF13" s="79">
        <f>'Sectoral Constraints Fig 2-3 AR'!BF13</f>
        <v>0</v>
      </c>
      <c r="BG13" s="79">
        <f>'Sectoral Constraints Fig 2-3 AR'!BG13</f>
        <v>0</v>
      </c>
      <c r="BH13" s="79">
        <f>'Sectoral Constraints Fig 2-3 AR'!BH13</f>
        <v>0</v>
      </c>
      <c r="BI13" s="79">
        <f>'Sectoral Constraints Fig 2-3 AR'!BI13</f>
        <v>0</v>
      </c>
      <c r="BJ13" s="79">
        <f>'Sectoral Constraints Fig 2-3 AR'!BJ13</f>
        <v>0</v>
      </c>
      <c r="BK13" s="79">
        <f>'Sectoral Constraints Fig 2-3 AR'!BK13</f>
        <v>0</v>
      </c>
      <c r="BL13" s="79">
        <f>'Sectoral Constraints Fig 2-3 AR'!BL13</f>
        <v>0</v>
      </c>
      <c r="BM13" s="79">
        <f>'Sectoral Constraints Fig 2-3 AR'!BM13</f>
        <v>0</v>
      </c>
      <c r="BN13" s="79">
        <f>'Sectoral Constraints Fig 2-3 AR'!BN13</f>
        <v>0</v>
      </c>
      <c r="BO13" s="79">
        <f>'Sectoral Constraints Fig 2-3 AR'!BO13</f>
        <v>0</v>
      </c>
      <c r="BP13" s="79">
        <f>'Sectoral Constraints Fig 2-3 AR'!BP13</f>
        <v>0</v>
      </c>
      <c r="BQ13" s="79">
        <f>'Sectoral Constraints Fig 2-3 AR'!BQ13</f>
        <v>0</v>
      </c>
      <c r="BR13" s="79">
        <f>'Sectoral Constraints Fig 2-3 AR'!BR13</f>
        <v>0</v>
      </c>
      <c r="BS13" s="79">
        <f>'Sectoral Constraints Fig 2-3 AR'!BS13</f>
        <v>0</v>
      </c>
      <c r="BT13" s="79">
        <f>'Sectoral Constraints Fig 2-3 AR'!BT13</f>
        <v>0</v>
      </c>
      <c r="BU13" s="79">
        <f>'Sectoral Constraints Fig 2-3 AR'!BU13</f>
        <v>0</v>
      </c>
      <c r="BV13" s="79">
        <f>'Sectoral Constraints Fig 2-3 AR'!BV13</f>
        <v>0</v>
      </c>
      <c r="BW13" s="79">
        <f>'Sectoral Constraints Fig 2-3 AR'!BW13</f>
        <v>0</v>
      </c>
      <c r="BX13" s="79">
        <f>'Sectoral Constraints Fig 2-3 AR'!BX13</f>
        <v>0</v>
      </c>
      <c r="BY13" s="79">
        <f>'Sectoral Constraints Fig 2-3 AR'!BY13</f>
        <v>0</v>
      </c>
      <c r="BZ13" s="79">
        <f>'Sectoral Constraints Fig 2-3 AR'!BZ13</f>
        <v>0</v>
      </c>
      <c r="CA13" s="79">
        <f>'Sectoral Constraints Fig 2-3 AR'!CA13</f>
        <v>0</v>
      </c>
      <c r="CB13" s="79">
        <f>'Sectoral Constraints Fig 2-3 AR'!CB13</f>
        <v>0</v>
      </c>
      <c r="CC13" s="79">
        <f>'Sectoral Constraints Fig 2-3 AR'!CC13</f>
        <v>0</v>
      </c>
      <c r="CD13" s="79">
        <f>'Sectoral Constraints Fig 2-3 AR'!CD13</f>
        <v>0</v>
      </c>
      <c r="CE13" s="79">
        <f>'Sectoral Constraints Fig 2-3 AR'!CE13</f>
        <v>0</v>
      </c>
      <c r="CF13" s="79">
        <f>'Sectoral Constraints Fig 2-3 AR'!CF13</f>
        <v>0</v>
      </c>
      <c r="CG13" s="79">
        <f>'Sectoral Constraints Fig 2-3 AR'!CG13</f>
        <v>0</v>
      </c>
      <c r="CH13" s="79">
        <f>'Sectoral Constraints Fig 2-3 AR'!CH13</f>
        <v>0</v>
      </c>
      <c r="CI13" s="79">
        <f>'Sectoral Constraints Fig 2-3 AR'!CI13</f>
        <v>0</v>
      </c>
      <c r="CJ13" s="79">
        <f>'Sectoral Constraints Fig 2-3 AR'!CJ13</f>
        <v>0</v>
      </c>
      <c r="CK13" s="79">
        <f>'Sectoral Constraints Fig 2-3 AR'!CK13</f>
        <v>0</v>
      </c>
      <c r="CL13" s="79">
        <f>'Sectoral Constraints Fig 2-3 AR'!CL13</f>
        <v>0</v>
      </c>
      <c r="CM13" s="79">
        <f>'Sectoral Constraints Fig 2-3 AR'!CM13</f>
        <v>0</v>
      </c>
      <c r="CN13" s="79">
        <f>'Sectoral Constraints Fig 2-3 AR'!CN13</f>
        <v>0</v>
      </c>
      <c r="CO13" s="79">
        <f>'Sectoral Constraints Fig 2-3 AR'!CO13</f>
        <v>0</v>
      </c>
      <c r="CP13" s="79">
        <f>'Sectoral Constraints Fig 2-3 AR'!CP13</f>
        <v>0</v>
      </c>
      <c r="CQ13" s="79">
        <f>'Sectoral Constraints Fig 2-3 AR'!CQ13</f>
        <v>0</v>
      </c>
      <c r="CR13" s="79">
        <f>'Sectoral Constraints Fig 2-3 AR'!CR13</f>
        <v>0</v>
      </c>
      <c r="CS13" s="79">
        <f>'Sectoral Constraints Fig 2-3 AR'!CS13</f>
        <v>0</v>
      </c>
      <c r="CT13" s="79">
        <f>'Sectoral Constraints Fig 2-3 AR'!CT13</f>
        <v>0</v>
      </c>
      <c r="CU13" s="79">
        <f>'Sectoral Constraints Fig 2-3 AR'!CU13</f>
        <v>0</v>
      </c>
      <c r="CV13" s="79">
        <f>'Sectoral Constraints Fig 2-3 AR'!CV13</f>
        <v>0</v>
      </c>
      <c r="CW13" s="79">
        <f>'Sectoral Constraints Fig 2-3 AR'!CW13</f>
        <v>0</v>
      </c>
      <c r="CX13" s="79">
        <f>'Sectoral Constraints Fig 2-3 AR'!CX13</f>
        <v>0</v>
      </c>
      <c r="CY13" s="79">
        <f>'Sectoral Constraints Fig 2-3 AR'!CY13</f>
        <v>0</v>
      </c>
      <c r="CZ13" s="79">
        <f>'Sectoral Constraints Fig 2-3 AR'!CZ13</f>
        <v>0</v>
      </c>
      <c r="DA13" s="79">
        <f>'Sectoral Constraints Fig 2-3 AR'!DA13</f>
        <v>0</v>
      </c>
      <c r="DB13" s="79">
        <f>'Sectoral Constraints Fig 2-3 AR'!DB13</f>
        <v>0</v>
      </c>
      <c r="DC13" s="79">
        <f>'Sectoral Constraints Fig 2-3 AR'!DC13</f>
        <v>0</v>
      </c>
      <c r="DD13" s="79">
        <f>'Sectoral Constraints Fig 2-3 AR'!DD13</f>
        <v>0</v>
      </c>
      <c r="DE13" s="79">
        <f>'Sectoral Constraints Fig 2-3 AR'!DE13</f>
        <v>0</v>
      </c>
      <c r="DF13" s="79">
        <f>'Sectoral Constraints Fig 2-3 AR'!DF13</f>
        <v>38</v>
      </c>
      <c r="DG13" s="79">
        <f>'Sectoral Constraints Fig 2-3 AR'!DG13</f>
        <v>15</v>
      </c>
      <c r="DH13" s="79">
        <f>'Sectoral Constraints Fig 2-3 AR'!DH13</f>
        <v>0</v>
      </c>
      <c r="DI13" s="79">
        <f>'Sectoral Constraints Fig 2-3 AR'!DI13</f>
        <v>40</v>
      </c>
      <c r="DJ13" s="79">
        <f>'Sectoral Constraints Fig 2-3 AR'!DJ13</f>
        <v>36</v>
      </c>
      <c r="DK13" s="79" t="str">
        <f>'Sectoral Constraints Fig 2-3 AR'!DK13</f>
        <v>ــ</v>
      </c>
      <c r="DL13" s="79">
        <f>'Sectoral Constraints Fig 2-3 AR'!DL13</f>
        <v>67.836595053214523</v>
      </c>
      <c r="DM13" s="79">
        <f>'Sectoral Constraints Fig 2-3 AR'!DM13</f>
        <v>51.136363636363633</v>
      </c>
      <c r="DN13" s="79" t="str">
        <f>'Sectoral Constraints Fig 2-3 AR'!DN13</f>
        <v>-</v>
      </c>
      <c r="DO13" s="79">
        <f>'Sectoral Constraints Fig 2-3 AR'!DO13</f>
        <v>21.728395061728392</v>
      </c>
      <c r="DP13" s="79">
        <f>'Sectoral Constraints Fig 2-3 AR'!DP13</f>
        <v>86.363636363636346</v>
      </c>
      <c r="DQ13" s="79" t="str">
        <f>'Sectoral Constraints Fig 2-3 AR'!DQ13</f>
        <v>-</v>
      </c>
      <c r="DR13" s="79">
        <f>'Sectoral Constraints Fig 2-3 AR'!DR13</f>
        <v>51.717171717171716</v>
      </c>
      <c r="DS13" s="79" t="str">
        <f>'Sectoral Constraints Fig 2-3 AR'!DS13</f>
        <v>-</v>
      </c>
      <c r="DT13" s="79" t="str">
        <f>'Sectoral Constraints Fig 2-3 AR'!DT13</f>
        <v>-</v>
      </c>
      <c r="DU13" s="79">
        <f>'Sectoral Constraints Fig 2-3 AR'!DU13</f>
        <v>14.543269230769232</v>
      </c>
      <c r="DV13" s="79">
        <f>'Sectoral Constraints Fig 2-3 AR'!DV13</f>
        <v>76</v>
      </c>
      <c r="DW13" s="79" t="str">
        <f>'Sectoral Constraints Fig 2-3 AR'!DW13</f>
        <v>-</v>
      </c>
      <c r="DX13" s="79">
        <v>48.287172011661802</v>
      </c>
      <c r="DY13" s="79" t="s">
        <v>172</v>
      </c>
      <c r="DZ13" s="79" t="s">
        <v>172</v>
      </c>
      <c r="EA13" s="79">
        <v>0</v>
      </c>
      <c r="EB13" s="100">
        <v>73.142857142857139</v>
      </c>
      <c r="EC13" s="79" t="s">
        <v>172</v>
      </c>
      <c r="ED13" s="100">
        <v>27.947598253275107</v>
      </c>
      <c r="EE13" s="100">
        <v>5.3571428571428568</v>
      </c>
      <c r="EF13" s="100">
        <v>0</v>
      </c>
      <c r="EG13" s="100">
        <v>8.3333333333333321</v>
      </c>
      <c r="EH13" s="100">
        <v>53.125</v>
      </c>
      <c r="EI13" s="100">
        <v>0</v>
      </c>
      <c r="EJ13" s="100">
        <v>40.969162995594715</v>
      </c>
      <c r="EK13" s="100">
        <v>25.925925925925931</v>
      </c>
      <c r="EL13" s="100">
        <v>0</v>
      </c>
      <c r="EM13" s="100">
        <v>64.285714285714278</v>
      </c>
      <c r="EN13" s="100">
        <v>25</v>
      </c>
      <c r="EO13" s="100">
        <v>0</v>
      </c>
      <c r="EP13" s="100">
        <v>40</v>
      </c>
      <c r="EQ13" s="100">
        <v>6</v>
      </c>
      <c r="ER13" s="100">
        <v>5</v>
      </c>
      <c r="ES13" s="100">
        <v>36</v>
      </c>
      <c r="ET13" s="100">
        <v>47</v>
      </c>
      <c r="EU13" s="100">
        <v>0</v>
      </c>
      <c r="EV13" s="100">
        <v>41.333333333333336</v>
      </c>
      <c r="EW13" s="100">
        <v>7.4074074074074083</v>
      </c>
      <c r="EX13" s="100">
        <v>5.7142857142857144</v>
      </c>
      <c r="EY13" s="100">
        <v>36.95652173913043</v>
      </c>
      <c r="EZ13" s="100">
        <v>21.428571428571427</v>
      </c>
      <c r="FA13" s="100">
        <v>0</v>
      </c>
    </row>
    <row r="14" spans="1:157" s="80" customFormat="1" ht="16.5" x14ac:dyDescent="0.3">
      <c r="A14" s="78" t="s">
        <v>66</v>
      </c>
      <c r="B14" s="79">
        <f>'Sectoral Constraints Fig 2-3 AR'!B14</f>
        <v>0</v>
      </c>
      <c r="C14" s="79">
        <f>'Sectoral Constraints Fig 2-3 AR'!C14</f>
        <v>0</v>
      </c>
      <c r="D14" s="79">
        <f>'Sectoral Constraints Fig 2-3 AR'!D14</f>
        <v>0</v>
      </c>
      <c r="E14" s="79">
        <f>'Sectoral Constraints Fig 2-3 AR'!E14</f>
        <v>0</v>
      </c>
      <c r="F14" s="79">
        <f>'Sectoral Constraints Fig 2-3 AR'!F14</f>
        <v>0</v>
      </c>
      <c r="G14" s="79">
        <f>'Sectoral Constraints Fig 2-3 AR'!G14</f>
        <v>0</v>
      </c>
      <c r="H14" s="79">
        <f>'Sectoral Constraints Fig 2-3 AR'!H14</f>
        <v>0</v>
      </c>
      <c r="I14" s="79">
        <f>'Sectoral Constraints Fig 2-3 AR'!I14</f>
        <v>0</v>
      </c>
      <c r="J14" s="79">
        <f>'Sectoral Constraints Fig 2-3 AR'!J14</f>
        <v>0</v>
      </c>
      <c r="K14" s="79">
        <f>'Sectoral Constraints Fig 2-3 AR'!K14</f>
        <v>0</v>
      </c>
      <c r="L14" s="79">
        <f>'Sectoral Constraints Fig 2-3 AR'!L14</f>
        <v>0</v>
      </c>
      <c r="M14" s="79">
        <f>'Sectoral Constraints Fig 2-3 AR'!M14</f>
        <v>0</v>
      </c>
      <c r="N14" s="79">
        <f>'Sectoral Constraints Fig 2-3 AR'!N14</f>
        <v>0</v>
      </c>
      <c r="O14" s="79">
        <f>'Sectoral Constraints Fig 2-3 AR'!O14</f>
        <v>0</v>
      </c>
      <c r="P14" s="79">
        <f>'Sectoral Constraints Fig 2-3 AR'!P14</f>
        <v>0</v>
      </c>
      <c r="Q14" s="79">
        <f>'Sectoral Constraints Fig 2-3 AR'!Q14</f>
        <v>0</v>
      </c>
      <c r="R14" s="79">
        <f>'Sectoral Constraints Fig 2-3 AR'!R14</f>
        <v>0</v>
      </c>
      <c r="S14" s="79">
        <f>'Sectoral Constraints Fig 2-3 AR'!S14</f>
        <v>0</v>
      </c>
      <c r="T14" s="79">
        <f>'Sectoral Constraints Fig 2-3 AR'!T14</f>
        <v>0</v>
      </c>
      <c r="U14" s="79">
        <f>'Sectoral Constraints Fig 2-3 AR'!U14</f>
        <v>0</v>
      </c>
      <c r="V14" s="79">
        <f>'Sectoral Constraints Fig 2-3 AR'!V14</f>
        <v>0</v>
      </c>
      <c r="W14" s="79">
        <f>'Sectoral Constraints Fig 2-3 AR'!W14</f>
        <v>0</v>
      </c>
      <c r="X14" s="79">
        <f>'Sectoral Constraints Fig 2-3 AR'!X14</f>
        <v>0</v>
      </c>
      <c r="Y14" s="79">
        <f>'Sectoral Constraints Fig 2-3 AR'!Y14</f>
        <v>0</v>
      </c>
      <c r="Z14" s="79">
        <f>'Sectoral Constraints Fig 2-3 AR'!Z14</f>
        <v>0</v>
      </c>
      <c r="AA14" s="79">
        <f>'Sectoral Constraints Fig 2-3 AR'!AA14</f>
        <v>0</v>
      </c>
      <c r="AB14" s="79">
        <f>'Sectoral Constraints Fig 2-3 AR'!AB14</f>
        <v>0</v>
      </c>
      <c r="AC14" s="79">
        <f>'Sectoral Constraints Fig 2-3 AR'!AC14</f>
        <v>0</v>
      </c>
      <c r="AD14" s="79">
        <f>'Sectoral Constraints Fig 2-3 AR'!AD14</f>
        <v>0</v>
      </c>
      <c r="AE14" s="79">
        <f>'Sectoral Constraints Fig 2-3 AR'!AE14</f>
        <v>0</v>
      </c>
      <c r="AF14" s="79">
        <f>'Sectoral Constraints Fig 2-3 AR'!AF14</f>
        <v>0</v>
      </c>
      <c r="AG14" s="79">
        <f>'Sectoral Constraints Fig 2-3 AR'!AG14</f>
        <v>0</v>
      </c>
      <c r="AH14" s="79">
        <f>'Sectoral Constraints Fig 2-3 AR'!AH14</f>
        <v>0</v>
      </c>
      <c r="AI14" s="79">
        <f>'Sectoral Constraints Fig 2-3 AR'!AI14</f>
        <v>0</v>
      </c>
      <c r="AJ14" s="79">
        <f>'Sectoral Constraints Fig 2-3 AR'!AJ14</f>
        <v>0</v>
      </c>
      <c r="AK14" s="79">
        <f>'Sectoral Constraints Fig 2-3 AR'!AK14</f>
        <v>0</v>
      </c>
      <c r="AL14" s="79">
        <f>'Sectoral Constraints Fig 2-3 AR'!AL14</f>
        <v>0</v>
      </c>
      <c r="AM14" s="79">
        <f>'Sectoral Constraints Fig 2-3 AR'!AM14</f>
        <v>0</v>
      </c>
      <c r="AN14" s="79">
        <f>'Sectoral Constraints Fig 2-3 AR'!AN14</f>
        <v>0</v>
      </c>
      <c r="AO14" s="79">
        <f>'Sectoral Constraints Fig 2-3 AR'!AO14</f>
        <v>0</v>
      </c>
      <c r="AP14" s="79">
        <f>'Sectoral Constraints Fig 2-3 AR'!AP14</f>
        <v>0</v>
      </c>
      <c r="AQ14" s="79">
        <f>'Sectoral Constraints Fig 2-3 AR'!AQ14</f>
        <v>0</v>
      </c>
      <c r="AR14" s="79">
        <f>'Sectoral Constraints Fig 2-3 AR'!AR14</f>
        <v>0</v>
      </c>
      <c r="AS14" s="79">
        <f>'Sectoral Constraints Fig 2-3 AR'!AS14</f>
        <v>0</v>
      </c>
      <c r="AT14" s="79">
        <f>'Sectoral Constraints Fig 2-3 AR'!AT14</f>
        <v>0</v>
      </c>
      <c r="AU14" s="79">
        <f>'Sectoral Constraints Fig 2-3 AR'!AU14</f>
        <v>0</v>
      </c>
      <c r="AV14" s="79">
        <f>'Sectoral Constraints Fig 2-3 AR'!AV14</f>
        <v>0</v>
      </c>
      <c r="AW14" s="79">
        <f>'Sectoral Constraints Fig 2-3 AR'!AW14</f>
        <v>0</v>
      </c>
      <c r="AX14" s="79">
        <f>'Sectoral Constraints Fig 2-3 AR'!AX14</f>
        <v>0</v>
      </c>
      <c r="AY14" s="79">
        <f>'Sectoral Constraints Fig 2-3 AR'!AY14</f>
        <v>0</v>
      </c>
      <c r="AZ14" s="79">
        <f>'Sectoral Constraints Fig 2-3 AR'!AZ14</f>
        <v>0</v>
      </c>
      <c r="BA14" s="79">
        <f>'Sectoral Constraints Fig 2-3 AR'!BA14</f>
        <v>0</v>
      </c>
      <c r="BB14" s="79">
        <f>'Sectoral Constraints Fig 2-3 AR'!BB14</f>
        <v>0</v>
      </c>
      <c r="BC14" s="79">
        <f>'Sectoral Constraints Fig 2-3 AR'!BC14</f>
        <v>0</v>
      </c>
      <c r="BD14" s="79">
        <f>'Sectoral Constraints Fig 2-3 AR'!BD14</f>
        <v>0</v>
      </c>
      <c r="BE14" s="79">
        <f>'Sectoral Constraints Fig 2-3 AR'!BE14</f>
        <v>0</v>
      </c>
      <c r="BF14" s="79">
        <f>'Sectoral Constraints Fig 2-3 AR'!BF14</f>
        <v>0</v>
      </c>
      <c r="BG14" s="79">
        <f>'Sectoral Constraints Fig 2-3 AR'!BG14</f>
        <v>0</v>
      </c>
      <c r="BH14" s="79">
        <f>'Sectoral Constraints Fig 2-3 AR'!BH14</f>
        <v>0</v>
      </c>
      <c r="BI14" s="79">
        <f>'Sectoral Constraints Fig 2-3 AR'!BI14</f>
        <v>0</v>
      </c>
      <c r="BJ14" s="79">
        <f>'Sectoral Constraints Fig 2-3 AR'!BJ14</f>
        <v>0</v>
      </c>
      <c r="BK14" s="79">
        <f>'Sectoral Constraints Fig 2-3 AR'!BK14</f>
        <v>0</v>
      </c>
      <c r="BL14" s="79">
        <f>'Sectoral Constraints Fig 2-3 AR'!BL14</f>
        <v>0</v>
      </c>
      <c r="BM14" s="79">
        <f>'Sectoral Constraints Fig 2-3 AR'!BM14</f>
        <v>0</v>
      </c>
      <c r="BN14" s="79">
        <f>'Sectoral Constraints Fig 2-3 AR'!BN14</f>
        <v>0</v>
      </c>
      <c r="BO14" s="79">
        <f>'Sectoral Constraints Fig 2-3 AR'!BO14</f>
        <v>0</v>
      </c>
      <c r="BP14" s="79">
        <f>'Sectoral Constraints Fig 2-3 AR'!BP14</f>
        <v>0</v>
      </c>
      <c r="BQ14" s="79">
        <f>'Sectoral Constraints Fig 2-3 AR'!BQ14</f>
        <v>0</v>
      </c>
      <c r="BR14" s="79">
        <f>'Sectoral Constraints Fig 2-3 AR'!BR14</f>
        <v>0</v>
      </c>
      <c r="BS14" s="79">
        <f>'Sectoral Constraints Fig 2-3 AR'!BS14</f>
        <v>0</v>
      </c>
      <c r="BT14" s="79">
        <f>'Sectoral Constraints Fig 2-3 AR'!BT14</f>
        <v>0</v>
      </c>
      <c r="BU14" s="79">
        <f>'Sectoral Constraints Fig 2-3 AR'!BU14</f>
        <v>0</v>
      </c>
      <c r="BV14" s="79">
        <f>'Sectoral Constraints Fig 2-3 AR'!BV14</f>
        <v>0</v>
      </c>
      <c r="BW14" s="79">
        <f>'Sectoral Constraints Fig 2-3 AR'!BW14</f>
        <v>0</v>
      </c>
      <c r="BX14" s="79">
        <f>'Sectoral Constraints Fig 2-3 AR'!BX14</f>
        <v>0</v>
      </c>
      <c r="BY14" s="79">
        <f>'Sectoral Constraints Fig 2-3 AR'!BY14</f>
        <v>0</v>
      </c>
      <c r="BZ14" s="79">
        <f>'Sectoral Constraints Fig 2-3 AR'!BZ14</f>
        <v>0</v>
      </c>
      <c r="CA14" s="79">
        <f>'Sectoral Constraints Fig 2-3 AR'!CA14</f>
        <v>0</v>
      </c>
      <c r="CB14" s="79">
        <f>'Sectoral Constraints Fig 2-3 AR'!CB14</f>
        <v>0</v>
      </c>
      <c r="CC14" s="79">
        <f>'Sectoral Constraints Fig 2-3 AR'!CC14</f>
        <v>0</v>
      </c>
      <c r="CD14" s="79">
        <f>'Sectoral Constraints Fig 2-3 AR'!CD14</f>
        <v>0</v>
      </c>
      <c r="CE14" s="79">
        <f>'Sectoral Constraints Fig 2-3 AR'!CE14</f>
        <v>0</v>
      </c>
      <c r="CF14" s="79">
        <f>'Sectoral Constraints Fig 2-3 AR'!CF14</f>
        <v>0</v>
      </c>
      <c r="CG14" s="79">
        <f>'Sectoral Constraints Fig 2-3 AR'!CG14</f>
        <v>0</v>
      </c>
      <c r="CH14" s="79">
        <f>'Sectoral Constraints Fig 2-3 AR'!CH14</f>
        <v>0</v>
      </c>
      <c r="CI14" s="79">
        <f>'Sectoral Constraints Fig 2-3 AR'!CI14</f>
        <v>0</v>
      </c>
      <c r="CJ14" s="79">
        <f>'Sectoral Constraints Fig 2-3 AR'!CJ14</f>
        <v>0</v>
      </c>
      <c r="CK14" s="79">
        <f>'Sectoral Constraints Fig 2-3 AR'!CK14</f>
        <v>0</v>
      </c>
      <c r="CL14" s="79">
        <f>'Sectoral Constraints Fig 2-3 AR'!CL14</f>
        <v>0</v>
      </c>
      <c r="CM14" s="79">
        <f>'Sectoral Constraints Fig 2-3 AR'!CM14</f>
        <v>0</v>
      </c>
      <c r="CN14" s="79">
        <f>'Sectoral Constraints Fig 2-3 AR'!CN14</f>
        <v>0</v>
      </c>
      <c r="CO14" s="79">
        <f>'Sectoral Constraints Fig 2-3 AR'!CO14</f>
        <v>0</v>
      </c>
      <c r="CP14" s="79">
        <f>'Sectoral Constraints Fig 2-3 AR'!CP14</f>
        <v>0</v>
      </c>
      <c r="CQ14" s="79">
        <f>'Sectoral Constraints Fig 2-3 AR'!CQ14</f>
        <v>0</v>
      </c>
      <c r="CR14" s="79">
        <f>'Sectoral Constraints Fig 2-3 AR'!CR14</f>
        <v>0</v>
      </c>
      <c r="CS14" s="79">
        <f>'Sectoral Constraints Fig 2-3 AR'!CS14</f>
        <v>0</v>
      </c>
      <c r="CT14" s="79">
        <f>'Sectoral Constraints Fig 2-3 AR'!CT14</f>
        <v>0</v>
      </c>
      <c r="CU14" s="79">
        <f>'Sectoral Constraints Fig 2-3 AR'!CU14</f>
        <v>0</v>
      </c>
      <c r="CV14" s="79">
        <f>'Sectoral Constraints Fig 2-3 AR'!CV14</f>
        <v>0</v>
      </c>
      <c r="CW14" s="79">
        <f>'Sectoral Constraints Fig 2-3 AR'!CW14</f>
        <v>0</v>
      </c>
      <c r="CX14" s="79">
        <f>'Sectoral Constraints Fig 2-3 AR'!CX14</f>
        <v>0</v>
      </c>
      <c r="CY14" s="79">
        <f>'Sectoral Constraints Fig 2-3 AR'!CY14</f>
        <v>0</v>
      </c>
      <c r="CZ14" s="79">
        <f>'Sectoral Constraints Fig 2-3 AR'!CZ14</f>
        <v>0</v>
      </c>
      <c r="DA14" s="79">
        <f>'Sectoral Constraints Fig 2-3 AR'!DA14</f>
        <v>0</v>
      </c>
      <c r="DB14" s="79">
        <f>'Sectoral Constraints Fig 2-3 AR'!DB14</f>
        <v>0</v>
      </c>
      <c r="DC14" s="79">
        <f>'Sectoral Constraints Fig 2-3 AR'!DC14</f>
        <v>0</v>
      </c>
      <c r="DD14" s="79">
        <f>'Sectoral Constraints Fig 2-3 AR'!DD14</f>
        <v>0</v>
      </c>
      <c r="DE14" s="79">
        <f>'Sectoral Constraints Fig 2-3 AR'!DE14</f>
        <v>0</v>
      </c>
      <c r="DF14" s="79">
        <f>'Sectoral Constraints Fig 2-3 AR'!DF14</f>
        <v>29</v>
      </c>
      <c r="DG14" s="79">
        <f>'Sectoral Constraints Fig 2-3 AR'!DG14</f>
        <v>6</v>
      </c>
      <c r="DH14" s="79">
        <f>'Sectoral Constraints Fig 2-3 AR'!DH14</f>
        <v>43</v>
      </c>
      <c r="DI14" s="79">
        <f>'Sectoral Constraints Fig 2-3 AR'!DI14</f>
        <v>6</v>
      </c>
      <c r="DJ14" s="79">
        <f>'Sectoral Constraints Fig 2-3 AR'!DJ14</f>
        <v>45</v>
      </c>
      <c r="DK14" s="79">
        <f>'Sectoral Constraints Fig 2-3 AR'!DK14</f>
        <v>98</v>
      </c>
      <c r="DL14" s="79">
        <f>'Sectoral Constraints Fig 2-3 AR'!DL14</f>
        <v>24.434389140271495</v>
      </c>
      <c r="DM14" s="79">
        <f>'Sectoral Constraints Fig 2-3 AR'!DM14</f>
        <v>12.727272727272728</v>
      </c>
      <c r="DN14" s="79">
        <f>'Sectoral Constraints Fig 2-3 AR'!DN14</f>
        <v>13.333333333333334</v>
      </c>
      <c r="DO14" s="79">
        <f>'Sectoral Constraints Fig 2-3 AR'!DO14</f>
        <v>20.495867768595044</v>
      </c>
      <c r="DP14" s="79">
        <f>'Sectoral Constraints Fig 2-3 AR'!DP14</f>
        <v>0</v>
      </c>
      <c r="DQ14" s="79">
        <f>'Sectoral Constraints Fig 2-3 AR'!DQ14</f>
        <v>80.672268907563023</v>
      </c>
      <c r="DR14" s="79">
        <f>'Sectoral Constraints Fig 2-3 AR'!DR14</f>
        <v>37.272727272727273</v>
      </c>
      <c r="DS14" s="79">
        <f>'Sectoral Constraints Fig 2-3 AR'!DS14</f>
        <v>3.7735849056603779</v>
      </c>
      <c r="DT14" s="79">
        <f>'Sectoral Constraints Fig 2-3 AR'!DT14</f>
        <v>25</v>
      </c>
      <c r="DU14" s="79">
        <f>'Sectoral Constraints Fig 2-3 AR'!DU14</f>
        <v>96.955128205128204</v>
      </c>
      <c r="DV14" s="79">
        <f>'Sectoral Constraints Fig 2-3 AR'!DV14</f>
        <v>16</v>
      </c>
      <c r="DW14" s="79">
        <f>'Sectoral Constraints Fig 2-3 AR'!DW14</f>
        <v>100</v>
      </c>
      <c r="DX14" s="79">
        <v>32.589285714285708</v>
      </c>
      <c r="DY14" s="79">
        <v>7.8431372549019605</v>
      </c>
      <c r="DZ14" s="79">
        <v>15</v>
      </c>
      <c r="EA14" s="79">
        <v>95.238095238095241</v>
      </c>
      <c r="EB14" s="100">
        <v>21.428571428571427</v>
      </c>
      <c r="EC14" s="79">
        <v>100</v>
      </c>
      <c r="ED14" s="100">
        <v>29.6943231441048</v>
      </c>
      <c r="EE14" s="100">
        <v>0</v>
      </c>
      <c r="EF14" s="100">
        <v>0</v>
      </c>
      <c r="EG14" s="100">
        <v>97.916666666666657</v>
      </c>
      <c r="EH14" s="100">
        <v>28.125</v>
      </c>
      <c r="EI14" s="100">
        <v>90.384615384615387</v>
      </c>
      <c r="EJ14" s="100">
        <v>44.493392070484589</v>
      </c>
      <c r="EK14" s="100">
        <v>3.7037037037037042</v>
      </c>
      <c r="EL14" s="100">
        <v>61.764705882352942</v>
      </c>
      <c r="EM14" s="100">
        <v>0</v>
      </c>
      <c r="EN14" s="100">
        <v>50</v>
      </c>
      <c r="EO14" s="100">
        <v>100</v>
      </c>
      <c r="EP14" s="100">
        <v>50</v>
      </c>
      <c r="EQ14" s="100">
        <v>13</v>
      </c>
      <c r="ER14" s="100">
        <v>26</v>
      </c>
      <c r="ES14" s="100">
        <v>4</v>
      </c>
      <c r="ET14" s="100">
        <v>47</v>
      </c>
      <c r="EU14" s="100">
        <v>100</v>
      </c>
      <c r="EV14" s="100">
        <v>44</v>
      </c>
      <c r="EW14" s="100">
        <v>14.814814814814817</v>
      </c>
      <c r="EX14" s="100">
        <v>11.428571428571429</v>
      </c>
      <c r="EY14" s="100">
        <v>4.3478260869565206</v>
      </c>
      <c r="EZ14" s="100">
        <v>25</v>
      </c>
      <c r="FA14" s="100">
        <v>100</v>
      </c>
    </row>
    <row r="15" spans="1:157" s="80" customFormat="1" ht="16.5" x14ac:dyDescent="0.3">
      <c r="A15" s="78" t="s">
        <v>62</v>
      </c>
      <c r="B15" s="79">
        <f>'Sectoral Constraints Fig 2-3 AR'!B15</f>
        <v>0</v>
      </c>
      <c r="C15" s="79">
        <f>'Sectoral Constraints Fig 2-3 AR'!C15</f>
        <v>0</v>
      </c>
      <c r="D15" s="79">
        <f>'Sectoral Constraints Fig 2-3 AR'!D15</f>
        <v>0</v>
      </c>
      <c r="E15" s="79">
        <f>'Sectoral Constraints Fig 2-3 AR'!E15</f>
        <v>0</v>
      </c>
      <c r="F15" s="79">
        <f>'Sectoral Constraints Fig 2-3 AR'!F15</f>
        <v>0</v>
      </c>
      <c r="G15" s="79">
        <f>'Sectoral Constraints Fig 2-3 AR'!G15</f>
        <v>0</v>
      </c>
      <c r="H15" s="79">
        <f>'Sectoral Constraints Fig 2-3 AR'!H15</f>
        <v>0</v>
      </c>
      <c r="I15" s="79">
        <f>'Sectoral Constraints Fig 2-3 AR'!I15</f>
        <v>0</v>
      </c>
      <c r="J15" s="79">
        <f>'Sectoral Constraints Fig 2-3 AR'!J15</f>
        <v>0</v>
      </c>
      <c r="K15" s="79">
        <f>'Sectoral Constraints Fig 2-3 AR'!K15</f>
        <v>0</v>
      </c>
      <c r="L15" s="79">
        <f>'Sectoral Constraints Fig 2-3 AR'!L15</f>
        <v>0</v>
      </c>
      <c r="M15" s="79">
        <f>'Sectoral Constraints Fig 2-3 AR'!M15</f>
        <v>0</v>
      </c>
      <c r="N15" s="79">
        <f>'Sectoral Constraints Fig 2-3 AR'!N15</f>
        <v>0</v>
      </c>
      <c r="O15" s="79">
        <f>'Sectoral Constraints Fig 2-3 AR'!O15</f>
        <v>0</v>
      </c>
      <c r="P15" s="79">
        <f>'Sectoral Constraints Fig 2-3 AR'!P15</f>
        <v>0</v>
      </c>
      <c r="Q15" s="79">
        <f>'Sectoral Constraints Fig 2-3 AR'!Q15</f>
        <v>0</v>
      </c>
      <c r="R15" s="79">
        <f>'Sectoral Constraints Fig 2-3 AR'!R15</f>
        <v>0</v>
      </c>
      <c r="S15" s="79">
        <f>'Sectoral Constraints Fig 2-3 AR'!S15</f>
        <v>0</v>
      </c>
      <c r="T15" s="79">
        <f>'Sectoral Constraints Fig 2-3 AR'!T15</f>
        <v>0</v>
      </c>
      <c r="U15" s="79">
        <f>'Sectoral Constraints Fig 2-3 AR'!U15</f>
        <v>0</v>
      </c>
      <c r="V15" s="79">
        <f>'Sectoral Constraints Fig 2-3 AR'!V15</f>
        <v>0</v>
      </c>
      <c r="W15" s="79">
        <f>'Sectoral Constraints Fig 2-3 AR'!W15</f>
        <v>0</v>
      </c>
      <c r="X15" s="79">
        <f>'Sectoral Constraints Fig 2-3 AR'!X15</f>
        <v>0</v>
      </c>
      <c r="Y15" s="79">
        <f>'Sectoral Constraints Fig 2-3 AR'!Y15</f>
        <v>0</v>
      </c>
      <c r="Z15" s="79">
        <f>'Sectoral Constraints Fig 2-3 AR'!Z15</f>
        <v>0</v>
      </c>
      <c r="AA15" s="79">
        <f>'Sectoral Constraints Fig 2-3 AR'!AA15</f>
        <v>0</v>
      </c>
      <c r="AB15" s="79">
        <f>'Sectoral Constraints Fig 2-3 AR'!AB15</f>
        <v>0</v>
      </c>
      <c r="AC15" s="79">
        <f>'Sectoral Constraints Fig 2-3 AR'!AC15</f>
        <v>0</v>
      </c>
      <c r="AD15" s="79">
        <f>'Sectoral Constraints Fig 2-3 AR'!AD15</f>
        <v>0</v>
      </c>
      <c r="AE15" s="79">
        <f>'Sectoral Constraints Fig 2-3 AR'!AE15</f>
        <v>0</v>
      </c>
      <c r="AF15" s="79">
        <f>'Sectoral Constraints Fig 2-3 AR'!AF15</f>
        <v>0</v>
      </c>
      <c r="AG15" s="79">
        <f>'Sectoral Constraints Fig 2-3 AR'!AG15</f>
        <v>0</v>
      </c>
      <c r="AH15" s="79">
        <f>'Sectoral Constraints Fig 2-3 AR'!AH15</f>
        <v>0</v>
      </c>
      <c r="AI15" s="79">
        <f>'Sectoral Constraints Fig 2-3 AR'!AI15</f>
        <v>0</v>
      </c>
      <c r="AJ15" s="79">
        <f>'Sectoral Constraints Fig 2-3 AR'!AJ15</f>
        <v>0</v>
      </c>
      <c r="AK15" s="79">
        <f>'Sectoral Constraints Fig 2-3 AR'!AK15</f>
        <v>0</v>
      </c>
      <c r="AL15" s="79">
        <f>'Sectoral Constraints Fig 2-3 AR'!AL15</f>
        <v>0</v>
      </c>
      <c r="AM15" s="79">
        <f>'Sectoral Constraints Fig 2-3 AR'!AM15</f>
        <v>0</v>
      </c>
      <c r="AN15" s="79">
        <f>'Sectoral Constraints Fig 2-3 AR'!AN15</f>
        <v>0</v>
      </c>
      <c r="AO15" s="79">
        <f>'Sectoral Constraints Fig 2-3 AR'!AO15</f>
        <v>0</v>
      </c>
      <c r="AP15" s="79">
        <f>'Sectoral Constraints Fig 2-3 AR'!AP15</f>
        <v>0</v>
      </c>
      <c r="AQ15" s="79">
        <f>'Sectoral Constraints Fig 2-3 AR'!AQ15</f>
        <v>0</v>
      </c>
      <c r="AR15" s="79">
        <f>'Sectoral Constraints Fig 2-3 AR'!AR15</f>
        <v>0</v>
      </c>
      <c r="AS15" s="79">
        <f>'Sectoral Constraints Fig 2-3 AR'!AS15</f>
        <v>0</v>
      </c>
      <c r="AT15" s="79">
        <f>'Sectoral Constraints Fig 2-3 AR'!AT15</f>
        <v>0</v>
      </c>
      <c r="AU15" s="79">
        <f>'Sectoral Constraints Fig 2-3 AR'!AU15</f>
        <v>0</v>
      </c>
      <c r="AV15" s="79">
        <f>'Sectoral Constraints Fig 2-3 AR'!AV15</f>
        <v>0</v>
      </c>
      <c r="AW15" s="79">
        <f>'Sectoral Constraints Fig 2-3 AR'!AW15</f>
        <v>0</v>
      </c>
      <c r="AX15" s="79">
        <f>'Sectoral Constraints Fig 2-3 AR'!AX15</f>
        <v>0</v>
      </c>
      <c r="AY15" s="79">
        <f>'Sectoral Constraints Fig 2-3 AR'!AY15</f>
        <v>0</v>
      </c>
      <c r="AZ15" s="79">
        <f>'Sectoral Constraints Fig 2-3 AR'!AZ15</f>
        <v>0</v>
      </c>
      <c r="BA15" s="79">
        <f>'Sectoral Constraints Fig 2-3 AR'!BA15</f>
        <v>0</v>
      </c>
      <c r="BB15" s="79">
        <f>'Sectoral Constraints Fig 2-3 AR'!BB15</f>
        <v>0</v>
      </c>
      <c r="BC15" s="79">
        <f>'Sectoral Constraints Fig 2-3 AR'!BC15</f>
        <v>0</v>
      </c>
      <c r="BD15" s="79">
        <f>'Sectoral Constraints Fig 2-3 AR'!BD15</f>
        <v>0</v>
      </c>
      <c r="BE15" s="79">
        <f>'Sectoral Constraints Fig 2-3 AR'!BE15</f>
        <v>0</v>
      </c>
      <c r="BF15" s="79">
        <f>'Sectoral Constraints Fig 2-3 AR'!BF15</f>
        <v>0</v>
      </c>
      <c r="BG15" s="79">
        <f>'Sectoral Constraints Fig 2-3 AR'!BG15</f>
        <v>0</v>
      </c>
      <c r="BH15" s="79">
        <f>'Sectoral Constraints Fig 2-3 AR'!BH15</f>
        <v>0</v>
      </c>
      <c r="BI15" s="79">
        <f>'Sectoral Constraints Fig 2-3 AR'!BI15</f>
        <v>0</v>
      </c>
      <c r="BJ15" s="79">
        <f>'Sectoral Constraints Fig 2-3 AR'!BJ15</f>
        <v>0</v>
      </c>
      <c r="BK15" s="79">
        <f>'Sectoral Constraints Fig 2-3 AR'!BK15</f>
        <v>0</v>
      </c>
      <c r="BL15" s="79">
        <f>'Sectoral Constraints Fig 2-3 AR'!BL15</f>
        <v>0</v>
      </c>
      <c r="BM15" s="79">
        <f>'Sectoral Constraints Fig 2-3 AR'!BM15</f>
        <v>0</v>
      </c>
      <c r="BN15" s="79">
        <f>'Sectoral Constraints Fig 2-3 AR'!BN15</f>
        <v>0</v>
      </c>
      <c r="BO15" s="79">
        <f>'Sectoral Constraints Fig 2-3 AR'!BO15</f>
        <v>0</v>
      </c>
      <c r="BP15" s="79">
        <f>'Sectoral Constraints Fig 2-3 AR'!BP15</f>
        <v>0</v>
      </c>
      <c r="BQ15" s="79">
        <f>'Sectoral Constraints Fig 2-3 AR'!BQ15</f>
        <v>0</v>
      </c>
      <c r="BR15" s="79">
        <f>'Sectoral Constraints Fig 2-3 AR'!BR15</f>
        <v>0</v>
      </c>
      <c r="BS15" s="79">
        <f>'Sectoral Constraints Fig 2-3 AR'!BS15</f>
        <v>0</v>
      </c>
      <c r="BT15" s="79">
        <f>'Sectoral Constraints Fig 2-3 AR'!BT15</f>
        <v>0</v>
      </c>
      <c r="BU15" s="79">
        <f>'Sectoral Constraints Fig 2-3 AR'!BU15</f>
        <v>0</v>
      </c>
      <c r="BV15" s="79">
        <f>'Sectoral Constraints Fig 2-3 AR'!BV15</f>
        <v>0</v>
      </c>
      <c r="BW15" s="79">
        <f>'Sectoral Constraints Fig 2-3 AR'!BW15</f>
        <v>0</v>
      </c>
      <c r="BX15" s="79">
        <f>'Sectoral Constraints Fig 2-3 AR'!BX15</f>
        <v>0</v>
      </c>
      <c r="BY15" s="79">
        <f>'Sectoral Constraints Fig 2-3 AR'!BY15</f>
        <v>0</v>
      </c>
      <c r="BZ15" s="79">
        <f>'Sectoral Constraints Fig 2-3 AR'!BZ15</f>
        <v>0</v>
      </c>
      <c r="CA15" s="79">
        <f>'Sectoral Constraints Fig 2-3 AR'!CA15</f>
        <v>0</v>
      </c>
      <c r="CB15" s="79">
        <f>'Sectoral Constraints Fig 2-3 AR'!CB15</f>
        <v>0</v>
      </c>
      <c r="CC15" s="79">
        <f>'Sectoral Constraints Fig 2-3 AR'!CC15</f>
        <v>0</v>
      </c>
      <c r="CD15" s="79">
        <f>'Sectoral Constraints Fig 2-3 AR'!CD15</f>
        <v>0</v>
      </c>
      <c r="CE15" s="79">
        <f>'Sectoral Constraints Fig 2-3 AR'!CE15</f>
        <v>0</v>
      </c>
      <c r="CF15" s="79">
        <f>'Sectoral Constraints Fig 2-3 AR'!CF15</f>
        <v>0</v>
      </c>
      <c r="CG15" s="79">
        <f>'Sectoral Constraints Fig 2-3 AR'!CG15</f>
        <v>0</v>
      </c>
      <c r="CH15" s="79">
        <f>'Sectoral Constraints Fig 2-3 AR'!CH15</f>
        <v>0</v>
      </c>
      <c r="CI15" s="79">
        <f>'Sectoral Constraints Fig 2-3 AR'!CI15</f>
        <v>0</v>
      </c>
      <c r="CJ15" s="79">
        <f>'Sectoral Constraints Fig 2-3 AR'!CJ15</f>
        <v>0</v>
      </c>
      <c r="CK15" s="79">
        <f>'Sectoral Constraints Fig 2-3 AR'!CK15</f>
        <v>0</v>
      </c>
      <c r="CL15" s="79">
        <f>'Sectoral Constraints Fig 2-3 AR'!CL15</f>
        <v>0</v>
      </c>
      <c r="CM15" s="79">
        <f>'Sectoral Constraints Fig 2-3 AR'!CM15</f>
        <v>0</v>
      </c>
      <c r="CN15" s="79">
        <f>'Sectoral Constraints Fig 2-3 AR'!CN15</f>
        <v>0</v>
      </c>
      <c r="CO15" s="79">
        <f>'Sectoral Constraints Fig 2-3 AR'!CO15</f>
        <v>0</v>
      </c>
      <c r="CP15" s="79">
        <f>'Sectoral Constraints Fig 2-3 AR'!CP15</f>
        <v>0</v>
      </c>
      <c r="CQ15" s="79">
        <f>'Sectoral Constraints Fig 2-3 AR'!CQ15</f>
        <v>0</v>
      </c>
      <c r="CR15" s="79">
        <f>'Sectoral Constraints Fig 2-3 AR'!CR15</f>
        <v>0</v>
      </c>
      <c r="CS15" s="79">
        <f>'Sectoral Constraints Fig 2-3 AR'!CS15</f>
        <v>0</v>
      </c>
      <c r="CT15" s="79">
        <f>'Sectoral Constraints Fig 2-3 AR'!CT15</f>
        <v>0</v>
      </c>
      <c r="CU15" s="79">
        <f>'Sectoral Constraints Fig 2-3 AR'!CU15</f>
        <v>0</v>
      </c>
      <c r="CV15" s="79">
        <f>'Sectoral Constraints Fig 2-3 AR'!CV15</f>
        <v>0</v>
      </c>
      <c r="CW15" s="79">
        <f>'Sectoral Constraints Fig 2-3 AR'!CW15</f>
        <v>0</v>
      </c>
      <c r="CX15" s="79">
        <f>'Sectoral Constraints Fig 2-3 AR'!CX15</f>
        <v>0</v>
      </c>
      <c r="CY15" s="79">
        <f>'Sectoral Constraints Fig 2-3 AR'!CY15</f>
        <v>0</v>
      </c>
      <c r="CZ15" s="79">
        <f>'Sectoral Constraints Fig 2-3 AR'!CZ15</f>
        <v>0</v>
      </c>
      <c r="DA15" s="79">
        <f>'Sectoral Constraints Fig 2-3 AR'!DA15</f>
        <v>0</v>
      </c>
      <c r="DB15" s="79">
        <f>'Sectoral Constraints Fig 2-3 AR'!DB15</f>
        <v>0</v>
      </c>
      <c r="DC15" s="79">
        <f>'Sectoral Constraints Fig 2-3 AR'!DC15</f>
        <v>0</v>
      </c>
      <c r="DD15" s="79">
        <f>'Sectoral Constraints Fig 2-3 AR'!DD15</f>
        <v>0</v>
      </c>
      <c r="DE15" s="79">
        <f>'Sectoral Constraints Fig 2-3 AR'!DE15</f>
        <v>0</v>
      </c>
      <c r="DF15" s="79">
        <f>'Sectoral Constraints Fig 2-3 AR'!DF15</f>
        <v>24</v>
      </c>
      <c r="DG15" s="79">
        <f>'Sectoral Constraints Fig 2-3 AR'!DG15</f>
        <v>38</v>
      </c>
      <c r="DH15" s="79">
        <f>'Sectoral Constraints Fig 2-3 AR'!DH15</f>
        <v>14</v>
      </c>
      <c r="DI15" s="79">
        <f>'Sectoral Constraints Fig 2-3 AR'!DI15</f>
        <v>5</v>
      </c>
      <c r="DJ15" s="79">
        <f>'Sectoral Constraints Fig 2-3 AR'!DJ15</f>
        <v>0</v>
      </c>
      <c r="DK15" s="79">
        <f>'Sectoral Constraints Fig 2-3 AR'!DK15</f>
        <v>0</v>
      </c>
      <c r="DL15" s="79">
        <f>'Sectoral Constraints Fig 2-3 AR'!DL15</f>
        <v>18.552036199095024</v>
      </c>
      <c r="DM15" s="79">
        <f>'Sectoral Constraints Fig 2-3 AR'!DM15</f>
        <v>20.000000000000004</v>
      </c>
      <c r="DN15" s="79">
        <f>'Sectoral Constraints Fig 2-3 AR'!DN15</f>
        <v>0</v>
      </c>
      <c r="DO15" s="79">
        <f>'Sectoral Constraints Fig 2-3 AR'!DO15</f>
        <v>3.3333333333333326</v>
      </c>
      <c r="DP15" s="79">
        <f>'Sectoral Constraints Fig 2-3 AR'!DP15</f>
        <v>0</v>
      </c>
      <c r="DQ15" s="79">
        <f>'Sectoral Constraints Fig 2-3 AR'!DQ15</f>
        <v>0</v>
      </c>
      <c r="DR15" s="79">
        <f>'Sectoral Constraints Fig 2-3 AR'!DR15</f>
        <v>9.0909090909090882</v>
      </c>
      <c r="DS15" s="79">
        <f>'Sectoral Constraints Fig 2-3 AR'!DS15</f>
        <v>1.8867924528301889</v>
      </c>
      <c r="DT15" s="79">
        <f>'Sectoral Constraints Fig 2-3 AR'!DT15</f>
        <v>13.888888888888889</v>
      </c>
      <c r="DU15" s="79">
        <f>'Sectoral Constraints Fig 2-3 AR'!DU15</f>
        <v>8.6182336182336154</v>
      </c>
      <c r="DV15" s="79">
        <f>'Sectoral Constraints Fig 2-3 AR'!DV15</f>
        <v>0</v>
      </c>
      <c r="DW15" s="79">
        <f>'Sectoral Constraints Fig 2-3 AR'!DW15</f>
        <v>0</v>
      </c>
      <c r="DX15" s="79">
        <v>3.5714285714285712</v>
      </c>
      <c r="DY15" s="79">
        <v>11.76470588235294</v>
      </c>
      <c r="DZ15" s="79">
        <v>5</v>
      </c>
      <c r="EA15" s="79">
        <v>9.5238095238095219</v>
      </c>
      <c r="EB15" s="100">
        <v>0</v>
      </c>
      <c r="EC15" s="79">
        <v>13.333333333333334</v>
      </c>
      <c r="ED15" s="100">
        <v>6.1135371179039302</v>
      </c>
      <c r="EE15" s="100">
        <v>1.7857142857142856</v>
      </c>
      <c r="EF15" s="100">
        <v>0</v>
      </c>
      <c r="EG15" s="100">
        <v>8.3333333333333321</v>
      </c>
      <c r="EH15" s="100">
        <v>0</v>
      </c>
      <c r="EI15" s="100">
        <v>0</v>
      </c>
      <c r="EJ15" s="100">
        <v>28.193832599118945</v>
      </c>
      <c r="EK15" s="100">
        <v>18.518518518518519</v>
      </c>
      <c r="EL15" s="100">
        <v>17.647058823529413</v>
      </c>
      <c r="EM15" s="100">
        <v>23.80952380952381</v>
      </c>
      <c r="EN15" s="100">
        <v>0</v>
      </c>
      <c r="EO15" s="100">
        <v>0</v>
      </c>
      <c r="EP15" s="100">
        <v>28</v>
      </c>
      <c r="EQ15" s="100">
        <v>11</v>
      </c>
      <c r="ER15" s="100">
        <v>0</v>
      </c>
      <c r="ES15" s="100">
        <v>21</v>
      </c>
      <c r="ET15" s="100">
        <v>6</v>
      </c>
      <c r="EU15" s="100">
        <v>0</v>
      </c>
      <c r="EV15" s="100">
        <v>20</v>
      </c>
      <c r="EW15" s="100">
        <v>16.666666666666668</v>
      </c>
      <c r="EX15" s="100">
        <v>0</v>
      </c>
      <c r="EY15" s="100">
        <v>17.391304347826082</v>
      </c>
      <c r="EZ15" s="100">
        <v>0</v>
      </c>
      <c r="FA15" s="100">
        <v>0</v>
      </c>
    </row>
    <row r="16" spans="1:157" s="80" customFormat="1" ht="16.5" x14ac:dyDescent="0.3">
      <c r="A16" s="78" t="s">
        <v>64</v>
      </c>
      <c r="B16" s="79">
        <f>'Sectoral Constraints Fig 2-3 AR'!B16</f>
        <v>0</v>
      </c>
      <c r="C16" s="79">
        <f>'Sectoral Constraints Fig 2-3 AR'!C16</f>
        <v>0</v>
      </c>
      <c r="D16" s="79">
        <f>'Sectoral Constraints Fig 2-3 AR'!D16</f>
        <v>0</v>
      </c>
      <c r="E16" s="79">
        <f>'Sectoral Constraints Fig 2-3 AR'!E16</f>
        <v>0</v>
      </c>
      <c r="F16" s="79">
        <f>'Sectoral Constraints Fig 2-3 AR'!F16</f>
        <v>0</v>
      </c>
      <c r="G16" s="79">
        <f>'Sectoral Constraints Fig 2-3 AR'!G16</f>
        <v>0</v>
      </c>
      <c r="H16" s="79">
        <f>'Sectoral Constraints Fig 2-3 AR'!H16</f>
        <v>0</v>
      </c>
      <c r="I16" s="79">
        <f>'Sectoral Constraints Fig 2-3 AR'!I16</f>
        <v>0</v>
      </c>
      <c r="J16" s="79">
        <f>'Sectoral Constraints Fig 2-3 AR'!J16</f>
        <v>0</v>
      </c>
      <c r="K16" s="79">
        <f>'Sectoral Constraints Fig 2-3 AR'!K16</f>
        <v>0</v>
      </c>
      <c r="L16" s="79">
        <f>'Sectoral Constraints Fig 2-3 AR'!L16</f>
        <v>0</v>
      </c>
      <c r="M16" s="79">
        <f>'Sectoral Constraints Fig 2-3 AR'!M16</f>
        <v>0</v>
      </c>
      <c r="N16" s="79">
        <f>'Sectoral Constraints Fig 2-3 AR'!N16</f>
        <v>0</v>
      </c>
      <c r="O16" s="79">
        <f>'Sectoral Constraints Fig 2-3 AR'!O16</f>
        <v>0</v>
      </c>
      <c r="P16" s="79">
        <f>'Sectoral Constraints Fig 2-3 AR'!P16</f>
        <v>0</v>
      </c>
      <c r="Q16" s="79">
        <f>'Sectoral Constraints Fig 2-3 AR'!Q16</f>
        <v>0</v>
      </c>
      <c r="R16" s="79">
        <f>'Sectoral Constraints Fig 2-3 AR'!R16</f>
        <v>0</v>
      </c>
      <c r="S16" s="79">
        <f>'Sectoral Constraints Fig 2-3 AR'!S16</f>
        <v>0</v>
      </c>
      <c r="T16" s="79">
        <f>'Sectoral Constraints Fig 2-3 AR'!T16</f>
        <v>0</v>
      </c>
      <c r="U16" s="79">
        <f>'Sectoral Constraints Fig 2-3 AR'!U16</f>
        <v>0</v>
      </c>
      <c r="V16" s="79">
        <f>'Sectoral Constraints Fig 2-3 AR'!V16</f>
        <v>0</v>
      </c>
      <c r="W16" s="79">
        <f>'Sectoral Constraints Fig 2-3 AR'!W16</f>
        <v>0</v>
      </c>
      <c r="X16" s="79">
        <f>'Sectoral Constraints Fig 2-3 AR'!X16</f>
        <v>0</v>
      </c>
      <c r="Y16" s="79">
        <f>'Sectoral Constraints Fig 2-3 AR'!Y16</f>
        <v>0</v>
      </c>
      <c r="Z16" s="79">
        <f>'Sectoral Constraints Fig 2-3 AR'!Z16</f>
        <v>0</v>
      </c>
      <c r="AA16" s="79">
        <f>'Sectoral Constraints Fig 2-3 AR'!AA16</f>
        <v>0</v>
      </c>
      <c r="AB16" s="79">
        <f>'Sectoral Constraints Fig 2-3 AR'!AB16</f>
        <v>0</v>
      </c>
      <c r="AC16" s="79">
        <f>'Sectoral Constraints Fig 2-3 AR'!AC16</f>
        <v>0</v>
      </c>
      <c r="AD16" s="79">
        <f>'Sectoral Constraints Fig 2-3 AR'!AD16</f>
        <v>0</v>
      </c>
      <c r="AE16" s="79">
        <f>'Sectoral Constraints Fig 2-3 AR'!AE16</f>
        <v>0</v>
      </c>
      <c r="AF16" s="79">
        <f>'Sectoral Constraints Fig 2-3 AR'!AF16</f>
        <v>0</v>
      </c>
      <c r="AG16" s="79">
        <f>'Sectoral Constraints Fig 2-3 AR'!AG16</f>
        <v>0</v>
      </c>
      <c r="AH16" s="79">
        <f>'Sectoral Constraints Fig 2-3 AR'!AH16</f>
        <v>0</v>
      </c>
      <c r="AI16" s="79">
        <f>'Sectoral Constraints Fig 2-3 AR'!AI16</f>
        <v>0</v>
      </c>
      <c r="AJ16" s="79">
        <f>'Sectoral Constraints Fig 2-3 AR'!AJ16</f>
        <v>0</v>
      </c>
      <c r="AK16" s="79">
        <f>'Sectoral Constraints Fig 2-3 AR'!AK16</f>
        <v>0</v>
      </c>
      <c r="AL16" s="79">
        <f>'Sectoral Constraints Fig 2-3 AR'!AL16</f>
        <v>0</v>
      </c>
      <c r="AM16" s="79">
        <f>'Sectoral Constraints Fig 2-3 AR'!AM16</f>
        <v>0</v>
      </c>
      <c r="AN16" s="79">
        <f>'Sectoral Constraints Fig 2-3 AR'!AN16</f>
        <v>0</v>
      </c>
      <c r="AO16" s="79">
        <f>'Sectoral Constraints Fig 2-3 AR'!AO16</f>
        <v>0</v>
      </c>
      <c r="AP16" s="79">
        <f>'Sectoral Constraints Fig 2-3 AR'!AP16</f>
        <v>0</v>
      </c>
      <c r="AQ16" s="79">
        <f>'Sectoral Constraints Fig 2-3 AR'!AQ16</f>
        <v>0</v>
      </c>
      <c r="AR16" s="79">
        <f>'Sectoral Constraints Fig 2-3 AR'!AR16</f>
        <v>0</v>
      </c>
      <c r="AS16" s="79">
        <f>'Sectoral Constraints Fig 2-3 AR'!AS16</f>
        <v>0</v>
      </c>
      <c r="AT16" s="79">
        <f>'Sectoral Constraints Fig 2-3 AR'!AT16</f>
        <v>0</v>
      </c>
      <c r="AU16" s="79">
        <f>'Sectoral Constraints Fig 2-3 AR'!AU16</f>
        <v>0</v>
      </c>
      <c r="AV16" s="79">
        <f>'Sectoral Constraints Fig 2-3 AR'!AV16</f>
        <v>0</v>
      </c>
      <c r="AW16" s="79">
        <f>'Sectoral Constraints Fig 2-3 AR'!AW16</f>
        <v>0</v>
      </c>
      <c r="AX16" s="79">
        <f>'Sectoral Constraints Fig 2-3 AR'!AX16</f>
        <v>0</v>
      </c>
      <c r="AY16" s="79">
        <f>'Sectoral Constraints Fig 2-3 AR'!AY16</f>
        <v>0</v>
      </c>
      <c r="AZ16" s="79">
        <f>'Sectoral Constraints Fig 2-3 AR'!AZ16</f>
        <v>0</v>
      </c>
      <c r="BA16" s="79">
        <f>'Sectoral Constraints Fig 2-3 AR'!BA16</f>
        <v>0</v>
      </c>
      <c r="BB16" s="79">
        <f>'Sectoral Constraints Fig 2-3 AR'!BB16</f>
        <v>0</v>
      </c>
      <c r="BC16" s="79">
        <f>'Sectoral Constraints Fig 2-3 AR'!BC16</f>
        <v>0</v>
      </c>
      <c r="BD16" s="79">
        <f>'Sectoral Constraints Fig 2-3 AR'!BD16</f>
        <v>0</v>
      </c>
      <c r="BE16" s="79">
        <f>'Sectoral Constraints Fig 2-3 AR'!BE16</f>
        <v>0</v>
      </c>
      <c r="BF16" s="79">
        <f>'Sectoral Constraints Fig 2-3 AR'!BF16</f>
        <v>0</v>
      </c>
      <c r="BG16" s="79">
        <f>'Sectoral Constraints Fig 2-3 AR'!BG16</f>
        <v>0</v>
      </c>
      <c r="BH16" s="79">
        <f>'Sectoral Constraints Fig 2-3 AR'!BH16</f>
        <v>0</v>
      </c>
      <c r="BI16" s="79">
        <f>'Sectoral Constraints Fig 2-3 AR'!BI16</f>
        <v>0</v>
      </c>
      <c r="BJ16" s="79">
        <f>'Sectoral Constraints Fig 2-3 AR'!BJ16</f>
        <v>0</v>
      </c>
      <c r="BK16" s="79">
        <f>'Sectoral Constraints Fig 2-3 AR'!BK16</f>
        <v>0</v>
      </c>
      <c r="BL16" s="79">
        <f>'Sectoral Constraints Fig 2-3 AR'!BL16</f>
        <v>0</v>
      </c>
      <c r="BM16" s="79">
        <f>'Sectoral Constraints Fig 2-3 AR'!BM16</f>
        <v>0</v>
      </c>
      <c r="BN16" s="79">
        <f>'Sectoral Constraints Fig 2-3 AR'!BN16</f>
        <v>0</v>
      </c>
      <c r="BO16" s="79">
        <f>'Sectoral Constraints Fig 2-3 AR'!BO16</f>
        <v>0</v>
      </c>
      <c r="BP16" s="79">
        <f>'Sectoral Constraints Fig 2-3 AR'!BP16</f>
        <v>0</v>
      </c>
      <c r="BQ16" s="79">
        <f>'Sectoral Constraints Fig 2-3 AR'!BQ16</f>
        <v>0</v>
      </c>
      <c r="BR16" s="79">
        <f>'Sectoral Constraints Fig 2-3 AR'!BR16</f>
        <v>0</v>
      </c>
      <c r="BS16" s="79">
        <f>'Sectoral Constraints Fig 2-3 AR'!BS16</f>
        <v>0</v>
      </c>
      <c r="BT16" s="79">
        <f>'Sectoral Constraints Fig 2-3 AR'!BT16</f>
        <v>0</v>
      </c>
      <c r="BU16" s="79">
        <f>'Sectoral Constraints Fig 2-3 AR'!BU16</f>
        <v>0</v>
      </c>
      <c r="BV16" s="79">
        <f>'Sectoral Constraints Fig 2-3 AR'!BV16</f>
        <v>0</v>
      </c>
      <c r="BW16" s="79">
        <f>'Sectoral Constraints Fig 2-3 AR'!BW16</f>
        <v>0</v>
      </c>
      <c r="BX16" s="79">
        <f>'Sectoral Constraints Fig 2-3 AR'!BX16</f>
        <v>0</v>
      </c>
      <c r="BY16" s="79">
        <f>'Sectoral Constraints Fig 2-3 AR'!BY16</f>
        <v>0</v>
      </c>
      <c r="BZ16" s="79">
        <f>'Sectoral Constraints Fig 2-3 AR'!BZ16</f>
        <v>0</v>
      </c>
      <c r="CA16" s="79">
        <f>'Sectoral Constraints Fig 2-3 AR'!CA16</f>
        <v>0</v>
      </c>
      <c r="CB16" s="79">
        <f>'Sectoral Constraints Fig 2-3 AR'!CB16</f>
        <v>0</v>
      </c>
      <c r="CC16" s="79">
        <f>'Sectoral Constraints Fig 2-3 AR'!CC16</f>
        <v>0</v>
      </c>
      <c r="CD16" s="79">
        <f>'Sectoral Constraints Fig 2-3 AR'!CD16</f>
        <v>0</v>
      </c>
      <c r="CE16" s="79">
        <f>'Sectoral Constraints Fig 2-3 AR'!CE16</f>
        <v>0</v>
      </c>
      <c r="CF16" s="79">
        <f>'Sectoral Constraints Fig 2-3 AR'!CF16</f>
        <v>0</v>
      </c>
      <c r="CG16" s="79">
        <f>'Sectoral Constraints Fig 2-3 AR'!CG16</f>
        <v>0</v>
      </c>
      <c r="CH16" s="79">
        <f>'Sectoral Constraints Fig 2-3 AR'!CH16</f>
        <v>0</v>
      </c>
      <c r="CI16" s="79">
        <f>'Sectoral Constraints Fig 2-3 AR'!CI16</f>
        <v>0</v>
      </c>
      <c r="CJ16" s="79">
        <f>'Sectoral Constraints Fig 2-3 AR'!CJ16</f>
        <v>0</v>
      </c>
      <c r="CK16" s="79">
        <f>'Sectoral Constraints Fig 2-3 AR'!CK16</f>
        <v>0</v>
      </c>
      <c r="CL16" s="79">
        <f>'Sectoral Constraints Fig 2-3 AR'!CL16</f>
        <v>0</v>
      </c>
      <c r="CM16" s="79">
        <f>'Sectoral Constraints Fig 2-3 AR'!CM16</f>
        <v>0</v>
      </c>
      <c r="CN16" s="79">
        <f>'Sectoral Constraints Fig 2-3 AR'!CN16</f>
        <v>0</v>
      </c>
      <c r="CO16" s="79">
        <f>'Sectoral Constraints Fig 2-3 AR'!CO16</f>
        <v>0</v>
      </c>
      <c r="CP16" s="79">
        <f>'Sectoral Constraints Fig 2-3 AR'!CP16</f>
        <v>0</v>
      </c>
      <c r="CQ16" s="79">
        <f>'Sectoral Constraints Fig 2-3 AR'!CQ16</f>
        <v>0</v>
      </c>
      <c r="CR16" s="79">
        <f>'Sectoral Constraints Fig 2-3 AR'!CR16</f>
        <v>0</v>
      </c>
      <c r="CS16" s="79">
        <f>'Sectoral Constraints Fig 2-3 AR'!CS16</f>
        <v>0</v>
      </c>
      <c r="CT16" s="79">
        <f>'Sectoral Constraints Fig 2-3 AR'!CT16</f>
        <v>0</v>
      </c>
      <c r="CU16" s="79">
        <f>'Sectoral Constraints Fig 2-3 AR'!CU16</f>
        <v>0</v>
      </c>
      <c r="CV16" s="79">
        <f>'Sectoral Constraints Fig 2-3 AR'!CV16</f>
        <v>0</v>
      </c>
      <c r="CW16" s="79">
        <f>'Sectoral Constraints Fig 2-3 AR'!CW16</f>
        <v>0</v>
      </c>
      <c r="CX16" s="79">
        <f>'Sectoral Constraints Fig 2-3 AR'!CX16</f>
        <v>0</v>
      </c>
      <c r="CY16" s="79">
        <f>'Sectoral Constraints Fig 2-3 AR'!CY16</f>
        <v>0</v>
      </c>
      <c r="CZ16" s="79">
        <f>'Sectoral Constraints Fig 2-3 AR'!CZ16</f>
        <v>0</v>
      </c>
      <c r="DA16" s="79">
        <f>'Sectoral Constraints Fig 2-3 AR'!DA16</f>
        <v>0</v>
      </c>
      <c r="DB16" s="79">
        <f>'Sectoral Constraints Fig 2-3 AR'!DB16</f>
        <v>0</v>
      </c>
      <c r="DC16" s="79">
        <f>'Sectoral Constraints Fig 2-3 AR'!DC16</f>
        <v>0</v>
      </c>
      <c r="DD16" s="79">
        <f>'Sectoral Constraints Fig 2-3 AR'!DD16</f>
        <v>0</v>
      </c>
      <c r="DE16" s="79">
        <f>'Sectoral Constraints Fig 2-3 AR'!DE16</f>
        <v>0</v>
      </c>
      <c r="DF16" s="79">
        <f>'Sectoral Constraints Fig 2-3 AR'!DF16</f>
        <v>19</v>
      </c>
      <c r="DG16" s="79">
        <f>'Sectoral Constraints Fig 2-3 AR'!DG16</f>
        <v>25</v>
      </c>
      <c r="DH16" s="79">
        <f>'Sectoral Constraints Fig 2-3 AR'!DH16</f>
        <v>0</v>
      </c>
      <c r="DI16" s="79">
        <f>'Sectoral Constraints Fig 2-3 AR'!DI16</f>
        <v>31</v>
      </c>
      <c r="DJ16" s="79">
        <f>'Sectoral Constraints Fig 2-3 AR'!DJ16</f>
        <v>45</v>
      </c>
      <c r="DK16" s="79">
        <f>'Sectoral Constraints Fig 2-3 AR'!DK16</f>
        <v>17</v>
      </c>
      <c r="DL16" s="79">
        <f>'Sectoral Constraints Fig 2-3 AR'!DL16</f>
        <v>26.244343891402718</v>
      </c>
      <c r="DM16" s="79">
        <f>'Sectoral Constraints Fig 2-3 AR'!DM16</f>
        <v>36.363636363636367</v>
      </c>
      <c r="DN16" s="79">
        <f>'Sectoral Constraints Fig 2-3 AR'!DN16</f>
        <v>0</v>
      </c>
      <c r="DO16" s="79">
        <f>'Sectoral Constraints Fig 2-3 AR'!DO16</f>
        <v>1.1111111111111109</v>
      </c>
      <c r="DP16" s="79">
        <f>'Sectoral Constraints Fig 2-3 AR'!DP16</f>
        <v>0</v>
      </c>
      <c r="DQ16" s="79">
        <f>'Sectoral Constraints Fig 2-3 AR'!DQ16</f>
        <v>0</v>
      </c>
      <c r="DR16" s="79">
        <f>'Sectoral Constraints Fig 2-3 AR'!DR16</f>
        <v>18.636363636363637</v>
      </c>
      <c r="DS16" s="79">
        <f>'Sectoral Constraints Fig 2-3 AR'!DS16</f>
        <v>26.415094339622648</v>
      </c>
      <c r="DT16" s="79">
        <f>'Sectoral Constraints Fig 2-3 AR'!DT16</f>
        <v>0</v>
      </c>
      <c r="DU16" s="79">
        <f>'Sectoral Constraints Fig 2-3 AR'!DU16</f>
        <v>5.1282051282051277</v>
      </c>
      <c r="DV16" s="79">
        <f>'Sectoral Constraints Fig 2-3 AR'!DV16</f>
        <v>16</v>
      </c>
      <c r="DW16" s="79">
        <f>'Sectoral Constraints Fig 2-3 AR'!DW16</f>
        <v>3.4482758620689653</v>
      </c>
      <c r="DX16" s="79">
        <v>8.9285714285714253</v>
      </c>
      <c r="DY16" s="79">
        <v>7.8431372549019605</v>
      </c>
      <c r="DZ16" s="79">
        <v>0</v>
      </c>
      <c r="EA16" s="79">
        <v>19.047619047619044</v>
      </c>
      <c r="EB16" s="100">
        <v>17.857142857142858</v>
      </c>
      <c r="EC16" s="79">
        <v>10</v>
      </c>
      <c r="ED16" s="100">
        <v>11.353711790393012</v>
      </c>
      <c r="EE16" s="100">
        <v>12.5</v>
      </c>
      <c r="EF16" s="100">
        <v>0</v>
      </c>
      <c r="EG16" s="100">
        <v>0</v>
      </c>
      <c r="EH16" s="100">
        <v>18.75</v>
      </c>
      <c r="EI16" s="100">
        <v>0</v>
      </c>
      <c r="EJ16" s="100">
        <v>27.753303964757709</v>
      </c>
      <c r="EK16" s="100">
        <v>24.074074074074076</v>
      </c>
      <c r="EL16" s="100">
        <v>23.52941176470588</v>
      </c>
      <c r="EM16" s="100">
        <v>26.190476190476186</v>
      </c>
      <c r="EN16" s="100">
        <v>0</v>
      </c>
      <c r="EO16" s="100">
        <v>3.5714285714285712</v>
      </c>
      <c r="EP16" s="100">
        <v>25</v>
      </c>
      <c r="EQ16" s="100">
        <v>13</v>
      </c>
      <c r="ER16" s="100">
        <v>0</v>
      </c>
      <c r="ES16" s="100">
        <v>28</v>
      </c>
      <c r="ET16" s="100">
        <v>0</v>
      </c>
      <c r="EU16" s="100">
        <v>0</v>
      </c>
      <c r="EV16" s="100">
        <v>11.555555555555554</v>
      </c>
      <c r="EW16" s="100">
        <v>16.666666666666668</v>
      </c>
      <c r="EX16" s="100">
        <v>0</v>
      </c>
      <c r="EY16" s="100">
        <v>23.913043478260867</v>
      </c>
      <c r="EZ16" s="100">
        <v>0</v>
      </c>
      <c r="FA16" s="100">
        <v>0</v>
      </c>
    </row>
    <row r="17" spans="1:157" s="80" customFormat="1" ht="16.5" x14ac:dyDescent="0.3">
      <c r="A17" s="78" t="s">
        <v>63</v>
      </c>
      <c r="B17" s="79" t="e">
        <f>'Sectoral Constraints Fig 2-3 AR'!#REF!</f>
        <v>#REF!</v>
      </c>
      <c r="C17" s="79" t="e">
        <f>'Sectoral Constraints Fig 2-3 AR'!#REF!</f>
        <v>#REF!</v>
      </c>
      <c r="D17" s="79" t="e">
        <f>'Sectoral Constraints Fig 2-3 AR'!#REF!</f>
        <v>#REF!</v>
      </c>
      <c r="E17" s="79" t="e">
        <f>'Sectoral Constraints Fig 2-3 AR'!#REF!</f>
        <v>#REF!</v>
      </c>
      <c r="F17" s="79" t="e">
        <f>'Sectoral Constraints Fig 2-3 AR'!#REF!</f>
        <v>#REF!</v>
      </c>
      <c r="G17" s="79" t="e">
        <f>'Sectoral Constraints Fig 2-3 AR'!#REF!</f>
        <v>#REF!</v>
      </c>
      <c r="H17" s="79" t="e">
        <f>'Sectoral Constraints Fig 2-3 AR'!#REF!</f>
        <v>#REF!</v>
      </c>
      <c r="I17" s="79" t="e">
        <f>'Sectoral Constraints Fig 2-3 AR'!#REF!</f>
        <v>#REF!</v>
      </c>
      <c r="J17" s="79" t="e">
        <f>'Sectoral Constraints Fig 2-3 AR'!#REF!</f>
        <v>#REF!</v>
      </c>
      <c r="K17" s="79" t="e">
        <f>'Sectoral Constraints Fig 2-3 AR'!#REF!</f>
        <v>#REF!</v>
      </c>
      <c r="L17" s="79" t="e">
        <f>'Sectoral Constraints Fig 2-3 AR'!#REF!</f>
        <v>#REF!</v>
      </c>
      <c r="M17" s="79" t="e">
        <f>'Sectoral Constraints Fig 2-3 AR'!#REF!</f>
        <v>#REF!</v>
      </c>
      <c r="N17" s="79" t="e">
        <f>'Sectoral Constraints Fig 2-3 AR'!#REF!</f>
        <v>#REF!</v>
      </c>
      <c r="O17" s="79" t="e">
        <f>'Sectoral Constraints Fig 2-3 AR'!#REF!</f>
        <v>#REF!</v>
      </c>
      <c r="P17" s="79" t="e">
        <f>'Sectoral Constraints Fig 2-3 AR'!#REF!</f>
        <v>#REF!</v>
      </c>
      <c r="Q17" s="79" t="e">
        <f>'Sectoral Constraints Fig 2-3 AR'!#REF!</f>
        <v>#REF!</v>
      </c>
      <c r="R17" s="79" t="e">
        <f>'Sectoral Constraints Fig 2-3 AR'!#REF!</f>
        <v>#REF!</v>
      </c>
      <c r="S17" s="79" t="e">
        <f>'Sectoral Constraints Fig 2-3 AR'!#REF!</f>
        <v>#REF!</v>
      </c>
      <c r="T17" s="79" t="e">
        <f>'Sectoral Constraints Fig 2-3 AR'!#REF!</f>
        <v>#REF!</v>
      </c>
      <c r="U17" s="79" t="e">
        <f>'Sectoral Constraints Fig 2-3 AR'!#REF!</f>
        <v>#REF!</v>
      </c>
      <c r="V17" s="79" t="e">
        <f>'Sectoral Constraints Fig 2-3 AR'!#REF!</f>
        <v>#REF!</v>
      </c>
      <c r="W17" s="79" t="e">
        <f>'Sectoral Constraints Fig 2-3 AR'!#REF!</f>
        <v>#REF!</v>
      </c>
      <c r="X17" s="79" t="e">
        <f>'Sectoral Constraints Fig 2-3 AR'!#REF!</f>
        <v>#REF!</v>
      </c>
      <c r="Y17" s="79" t="e">
        <f>'Sectoral Constraints Fig 2-3 AR'!#REF!</f>
        <v>#REF!</v>
      </c>
      <c r="Z17" s="79" t="e">
        <f>'Sectoral Constraints Fig 2-3 AR'!#REF!</f>
        <v>#REF!</v>
      </c>
      <c r="AA17" s="79" t="e">
        <f>'Sectoral Constraints Fig 2-3 AR'!#REF!</f>
        <v>#REF!</v>
      </c>
      <c r="AB17" s="79" t="e">
        <f>'Sectoral Constraints Fig 2-3 AR'!#REF!</f>
        <v>#REF!</v>
      </c>
      <c r="AC17" s="79" t="e">
        <f>'Sectoral Constraints Fig 2-3 AR'!#REF!</f>
        <v>#REF!</v>
      </c>
      <c r="AD17" s="79" t="e">
        <f>'Sectoral Constraints Fig 2-3 AR'!#REF!</f>
        <v>#REF!</v>
      </c>
      <c r="AE17" s="79" t="e">
        <f>'Sectoral Constraints Fig 2-3 AR'!#REF!</f>
        <v>#REF!</v>
      </c>
      <c r="AF17" s="79" t="e">
        <f>'Sectoral Constraints Fig 2-3 AR'!#REF!</f>
        <v>#REF!</v>
      </c>
      <c r="AG17" s="79" t="e">
        <f>'Sectoral Constraints Fig 2-3 AR'!#REF!</f>
        <v>#REF!</v>
      </c>
      <c r="AH17" s="79" t="e">
        <f>'Sectoral Constraints Fig 2-3 AR'!#REF!</f>
        <v>#REF!</v>
      </c>
      <c r="AI17" s="79" t="e">
        <f>'Sectoral Constraints Fig 2-3 AR'!#REF!</f>
        <v>#REF!</v>
      </c>
      <c r="AJ17" s="79" t="e">
        <f>'Sectoral Constraints Fig 2-3 AR'!#REF!</f>
        <v>#REF!</v>
      </c>
      <c r="AK17" s="79" t="e">
        <f>'Sectoral Constraints Fig 2-3 AR'!#REF!</f>
        <v>#REF!</v>
      </c>
      <c r="AL17" s="79" t="e">
        <f>'Sectoral Constraints Fig 2-3 AR'!#REF!</f>
        <v>#REF!</v>
      </c>
      <c r="AM17" s="79" t="e">
        <f>'Sectoral Constraints Fig 2-3 AR'!#REF!</f>
        <v>#REF!</v>
      </c>
      <c r="AN17" s="79" t="e">
        <f>'Sectoral Constraints Fig 2-3 AR'!#REF!</f>
        <v>#REF!</v>
      </c>
      <c r="AO17" s="79" t="e">
        <f>'Sectoral Constraints Fig 2-3 AR'!#REF!</f>
        <v>#REF!</v>
      </c>
      <c r="AP17" s="79" t="e">
        <f>'Sectoral Constraints Fig 2-3 AR'!#REF!</f>
        <v>#REF!</v>
      </c>
      <c r="AQ17" s="79" t="e">
        <f>'Sectoral Constraints Fig 2-3 AR'!#REF!</f>
        <v>#REF!</v>
      </c>
      <c r="AR17" s="79" t="e">
        <f>'Sectoral Constraints Fig 2-3 AR'!#REF!</f>
        <v>#REF!</v>
      </c>
      <c r="AS17" s="79" t="e">
        <f>'Sectoral Constraints Fig 2-3 AR'!#REF!</f>
        <v>#REF!</v>
      </c>
      <c r="AT17" s="79" t="e">
        <f>'Sectoral Constraints Fig 2-3 AR'!#REF!</f>
        <v>#REF!</v>
      </c>
      <c r="AU17" s="79" t="e">
        <f>'Sectoral Constraints Fig 2-3 AR'!#REF!</f>
        <v>#REF!</v>
      </c>
      <c r="AV17" s="79" t="e">
        <f>'Sectoral Constraints Fig 2-3 AR'!#REF!</f>
        <v>#REF!</v>
      </c>
      <c r="AW17" s="79" t="e">
        <f>'Sectoral Constraints Fig 2-3 AR'!#REF!</f>
        <v>#REF!</v>
      </c>
      <c r="AX17" s="79" t="e">
        <f>'Sectoral Constraints Fig 2-3 AR'!#REF!</f>
        <v>#REF!</v>
      </c>
      <c r="AY17" s="79" t="e">
        <f>'Sectoral Constraints Fig 2-3 AR'!#REF!</f>
        <v>#REF!</v>
      </c>
      <c r="AZ17" s="79" t="e">
        <f>'Sectoral Constraints Fig 2-3 AR'!#REF!</f>
        <v>#REF!</v>
      </c>
      <c r="BA17" s="79" t="e">
        <f>'Sectoral Constraints Fig 2-3 AR'!#REF!</f>
        <v>#REF!</v>
      </c>
      <c r="BB17" s="79" t="e">
        <f>'Sectoral Constraints Fig 2-3 AR'!#REF!</f>
        <v>#REF!</v>
      </c>
      <c r="BC17" s="79" t="e">
        <f>'Sectoral Constraints Fig 2-3 AR'!#REF!</f>
        <v>#REF!</v>
      </c>
      <c r="BD17" s="79" t="e">
        <f>'Sectoral Constraints Fig 2-3 AR'!#REF!</f>
        <v>#REF!</v>
      </c>
      <c r="BE17" s="79" t="e">
        <f>'Sectoral Constraints Fig 2-3 AR'!#REF!</f>
        <v>#REF!</v>
      </c>
      <c r="BF17" s="79" t="e">
        <f>'Sectoral Constraints Fig 2-3 AR'!#REF!</f>
        <v>#REF!</v>
      </c>
      <c r="BG17" s="79" t="e">
        <f>'Sectoral Constraints Fig 2-3 AR'!#REF!</f>
        <v>#REF!</v>
      </c>
      <c r="BH17" s="79" t="e">
        <f>'Sectoral Constraints Fig 2-3 AR'!#REF!</f>
        <v>#REF!</v>
      </c>
      <c r="BI17" s="79" t="e">
        <f>'Sectoral Constraints Fig 2-3 AR'!#REF!</f>
        <v>#REF!</v>
      </c>
      <c r="BJ17" s="79" t="e">
        <f>'Sectoral Constraints Fig 2-3 AR'!#REF!</f>
        <v>#REF!</v>
      </c>
      <c r="BK17" s="79" t="e">
        <f>'Sectoral Constraints Fig 2-3 AR'!#REF!</f>
        <v>#REF!</v>
      </c>
      <c r="BL17" s="79" t="e">
        <f>'Sectoral Constraints Fig 2-3 AR'!#REF!</f>
        <v>#REF!</v>
      </c>
      <c r="BM17" s="79" t="e">
        <f>'Sectoral Constraints Fig 2-3 AR'!#REF!</f>
        <v>#REF!</v>
      </c>
      <c r="BN17" s="79" t="e">
        <f>'Sectoral Constraints Fig 2-3 AR'!#REF!</f>
        <v>#REF!</v>
      </c>
      <c r="BO17" s="79" t="e">
        <f>'Sectoral Constraints Fig 2-3 AR'!#REF!</f>
        <v>#REF!</v>
      </c>
      <c r="BP17" s="79" t="e">
        <f>'Sectoral Constraints Fig 2-3 AR'!#REF!</f>
        <v>#REF!</v>
      </c>
      <c r="BQ17" s="79" t="e">
        <f>'Sectoral Constraints Fig 2-3 AR'!#REF!</f>
        <v>#REF!</v>
      </c>
      <c r="BR17" s="79" t="e">
        <f>'Sectoral Constraints Fig 2-3 AR'!#REF!</f>
        <v>#REF!</v>
      </c>
      <c r="BS17" s="79" t="e">
        <f>'Sectoral Constraints Fig 2-3 AR'!#REF!</f>
        <v>#REF!</v>
      </c>
      <c r="BT17" s="79" t="e">
        <f>'Sectoral Constraints Fig 2-3 AR'!#REF!</f>
        <v>#REF!</v>
      </c>
      <c r="BU17" s="79" t="e">
        <f>'Sectoral Constraints Fig 2-3 AR'!#REF!</f>
        <v>#REF!</v>
      </c>
      <c r="BV17" s="79" t="e">
        <f>'Sectoral Constraints Fig 2-3 AR'!#REF!</f>
        <v>#REF!</v>
      </c>
      <c r="BW17" s="79" t="e">
        <f>'Sectoral Constraints Fig 2-3 AR'!#REF!</f>
        <v>#REF!</v>
      </c>
      <c r="BX17" s="79" t="e">
        <f>'Sectoral Constraints Fig 2-3 AR'!#REF!</f>
        <v>#REF!</v>
      </c>
      <c r="BY17" s="79" t="e">
        <f>'Sectoral Constraints Fig 2-3 AR'!#REF!</f>
        <v>#REF!</v>
      </c>
      <c r="BZ17" s="79" t="e">
        <f>'Sectoral Constraints Fig 2-3 AR'!#REF!</f>
        <v>#REF!</v>
      </c>
      <c r="CA17" s="79" t="e">
        <f>'Sectoral Constraints Fig 2-3 AR'!#REF!</f>
        <v>#REF!</v>
      </c>
      <c r="CB17" s="79" t="e">
        <f>'Sectoral Constraints Fig 2-3 AR'!#REF!</f>
        <v>#REF!</v>
      </c>
      <c r="CC17" s="79" t="e">
        <f>'Sectoral Constraints Fig 2-3 AR'!#REF!</f>
        <v>#REF!</v>
      </c>
      <c r="CD17" s="79" t="e">
        <f>'Sectoral Constraints Fig 2-3 AR'!#REF!</f>
        <v>#REF!</v>
      </c>
      <c r="CE17" s="79" t="e">
        <f>'Sectoral Constraints Fig 2-3 AR'!#REF!</f>
        <v>#REF!</v>
      </c>
      <c r="CF17" s="79" t="e">
        <f>'Sectoral Constraints Fig 2-3 AR'!#REF!</f>
        <v>#REF!</v>
      </c>
      <c r="CG17" s="79" t="e">
        <f>'Sectoral Constraints Fig 2-3 AR'!#REF!</f>
        <v>#REF!</v>
      </c>
      <c r="CH17" s="79" t="e">
        <f>'Sectoral Constraints Fig 2-3 AR'!#REF!</f>
        <v>#REF!</v>
      </c>
      <c r="CI17" s="79" t="e">
        <f>'Sectoral Constraints Fig 2-3 AR'!#REF!</f>
        <v>#REF!</v>
      </c>
      <c r="CJ17" s="79" t="e">
        <f>'Sectoral Constraints Fig 2-3 AR'!#REF!</f>
        <v>#REF!</v>
      </c>
      <c r="CK17" s="79" t="e">
        <f>'Sectoral Constraints Fig 2-3 AR'!#REF!</f>
        <v>#REF!</v>
      </c>
      <c r="CL17" s="79" t="e">
        <f>'Sectoral Constraints Fig 2-3 AR'!#REF!</f>
        <v>#REF!</v>
      </c>
      <c r="CM17" s="79" t="e">
        <f>'Sectoral Constraints Fig 2-3 AR'!#REF!</f>
        <v>#REF!</v>
      </c>
      <c r="CN17" s="79" t="e">
        <f>'Sectoral Constraints Fig 2-3 AR'!#REF!</f>
        <v>#REF!</v>
      </c>
      <c r="CO17" s="79" t="e">
        <f>'Sectoral Constraints Fig 2-3 AR'!#REF!</f>
        <v>#REF!</v>
      </c>
      <c r="CP17" s="79" t="e">
        <f>'Sectoral Constraints Fig 2-3 AR'!#REF!</f>
        <v>#REF!</v>
      </c>
      <c r="CQ17" s="79" t="e">
        <f>'Sectoral Constraints Fig 2-3 AR'!#REF!</f>
        <v>#REF!</v>
      </c>
      <c r="CR17" s="79" t="e">
        <f>'Sectoral Constraints Fig 2-3 AR'!#REF!</f>
        <v>#REF!</v>
      </c>
      <c r="CS17" s="79" t="e">
        <f>'Sectoral Constraints Fig 2-3 AR'!#REF!</f>
        <v>#REF!</v>
      </c>
      <c r="CT17" s="79" t="e">
        <f>'Sectoral Constraints Fig 2-3 AR'!#REF!</f>
        <v>#REF!</v>
      </c>
      <c r="CU17" s="79" t="e">
        <f>'Sectoral Constraints Fig 2-3 AR'!#REF!</f>
        <v>#REF!</v>
      </c>
      <c r="CV17" s="79" t="e">
        <f>'Sectoral Constraints Fig 2-3 AR'!#REF!</f>
        <v>#REF!</v>
      </c>
      <c r="CW17" s="79" t="e">
        <f>'Sectoral Constraints Fig 2-3 AR'!#REF!</f>
        <v>#REF!</v>
      </c>
      <c r="CX17" s="79" t="e">
        <f>'Sectoral Constraints Fig 2-3 AR'!#REF!</f>
        <v>#REF!</v>
      </c>
      <c r="CY17" s="79" t="e">
        <f>'Sectoral Constraints Fig 2-3 AR'!#REF!</f>
        <v>#REF!</v>
      </c>
      <c r="CZ17" s="79" t="e">
        <f>'Sectoral Constraints Fig 2-3 AR'!#REF!</f>
        <v>#REF!</v>
      </c>
      <c r="DA17" s="79" t="e">
        <f>'Sectoral Constraints Fig 2-3 AR'!#REF!</f>
        <v>#REF!</v>
      </c>
      <c r="DB17" s="79" t="e">
        <f>'Sectoral Constraints Fig 2-3 AR'!#REF!</f>
        <v>#REF!</v>
      </c>
      <c r="DC17" s="79" t="e">
        <f>'Sectoral Constraints Fig 2-3 AR'!#REF!</f>
        <v>#REF!</v>
      </c>
      <c r="DD17" s="79" t="e">
        <f>'Sectoral Constraints Fig 2-3 AR'!#REF!</f>
        <v>#REF!</v>
      </c>
      <c r="DE17" s="79" t="e">
        <f>'Sectoral Constraints Fig 2-3 AR'!#REF!</f>
        <v>#REF!</v>
      </c>
      <c r="DF17" s="79" t="e">
        <f>'Sectoral Constraints Fig 2-3 AR'!#REF!</f>
        <v>#REF!</v>
      </c>
      <c r="DG17" s="79" t="e">
        <f>'Sectoral Constraints Fig 2-3 AR'!#REF!</f>
        <v>#REF!</v>
      </c>
      <c r="DH17" s="79" t="e">
        <f>'Sectoral Constraints Fig 2-3 AR'!#REF!</f>
        <v>#REF!</v>
      </c>
      <c r="DI17" s="79" t="e">
        <f>'Sectoral Constraints Fig 2-3 AR'!#REF!</f>
        <v>#REF!</v>
      </c>
      <c r="DJ17" s="79" t="e">
        <f>'Sectoral Constraints Fig 2-3 AR'!#REF!</f>
        <v>#REF!</v>
      </c>
      <c r="DK17" s="79" t="e">
        <f>'Sectoral Constraints Fig 2-3 AR'!#REF!</f>
        <v>#REF!</v>
      </c>
      <c r="DL17" s="79" t="e">
        <f>'Sectoral Constraints Fig 2-3 AR'!#REF!</f>
        <v>#REF!</v>
      </c>
      <c r="DM17" s="79" t="e">
        <f>'Sectoral Constraints Fig 2-3 AR'!#REF!</f>
        <v>#REF!</v>
      </c>
      <c r="DN17" s="79" t="e">
        <f>'Sectoral Constraints Fig 2-3 AR'!#REF!</f>
        <v>#REF!</v>
      </c>
      <c r="DO17" s="79" t="e">
        <f>'Sectoral Constraints Fig 2-3 AR'!#REF!</f>
        <v>#REF!</v>
      </c>
      <c r="DP17" s="79" t="e">
        <f>'Sectoral Constraints Fig 2-3 AR'!#REF!</f>
        <v>#REF!</v>
      </c>
      <c r="DQ17" s="79" t="e">
        <f>'Sectoral Constraints Fig 2-3 AR'!#REF!</f>
        <v>#REF!</v>
      </c>
      <c r="DR17" s="79" t="e">
        <f>'Sectoral Constraints Fig 2-3 AR'!#REF!</f>
        <v>#REF!</v>
      </c>
      <c r="DS17" s="79" t="e">
        <f>'Sectoral Constraints Fig 2-3 AR'!#REF!</f>
        <v>#REF!</v>
      </c>
      <c r="DT17" s="79" t="e">
        <f>'Sectoral Constraints Fig 2-3 AR'!#REF!</f>
        <v>#REF!</v>
      </c>
      <c r="DU17" s="79" t="e">
        <f>'Sectoral Constraints Fig 2-3 AR'!#REF!</f>
        <v>#REF!</v>
      </c>
      <c r="DV17" s="79" t="e">
        <f>'Sectoral Constraints Fig 2-3 AR'!#REF!</f>
        <v>#REF!</v>
      </c>
      <c r="DW17" s="79" t="e">
        <f>'Sectoral Constraints Fig 2-3 AR'!#REF!</f>
        <v>#REF!</v>
      </c>
      <c r="DX17" s="79">
        <v>0</v>
      </c>
      <c r="DY17" s="79">
        <v>9.0961828518389609</v>
      </c>
      <c r="DZ17" s="79">
        <v>0</v>
      </c>
      <c r="EA17" s="79" t="s">
        <v>172</v>
      </c>
      <c r="EB17" s="100">
        <v>0</v>
      </c>
      <c r="EC17" s="79">
        <v>0</v>
      </c>
      <c r="ED17" s="100">
        <v>0</v>
      </c>
      <c r="EE17" s="100">
        <v>0</v>
      </c>
      <c r="EF17" s="100">
        <v>0</v>
      </c>
      <c r="EG17" s="100">
        <v>0</v>
      </c>
      <c r="EH17" s="100">
        <v>0</v>
      </c>
      <c r="EI17" s="100">
        <v>0</v>
      </c>
      <c r="EJ17" s="100">
        <v>1.7621145374449341</v>
      </c>
      <c r="EK17" s="100">
        <v>1.8518518518518521</v>
      </c>
      <c r="EL17" s="100">
        <v>0</v>
      </c>
      <c r="EM17" s="100">
        <v>4.761904761904761</v>
      </c>
      <c r="EN17" s="100">
        <v>0</v>
      </c>
      <c r="EO17" s="100">
        <v>0</v>
      </c>
      <c r="EP17" s="100">
        <v>2</v>
      </c>
      <c r="EQ17" s="100">
        <v>4</v>
      </c>
      <c r="ER17" s="100">
        <v>0</v>
      </c>
      <c r="ES17" s="100">
        <v>0</v>
      </c>
      <c r="ET17" s="100">
        <v>0</v>
      </c>
      <c r="EU17" s="100">
        <v>0</v>
      </c>
      <c r="EV17" s="100">
        <v>0</v>
      </c>
      <c r="EW17" s="100">
        <v>0</v>
      </c>
      <c r="EX17" s="100">
        <v>0</v>
      </c>
      <c r="EY17" s="100">
        <v>0</v>
      </c>
      <c r="EZ17" s="100">
        <v>0</v>
      </c>
      <c r="FA17" s="100">
        <v>0</v>
      </c>
    </row>
    <row r="18" spans="1:157" s="80" customFormat="1" ht="16.5" x14ac:dyDescent="0.3">
      <c r="A18" s="78" t="s">
        <v>71</v>
      </c>
      <c r="B18" s="79">
        <f>'Sectoral Constraints Fig 2-3 AR'!B17</f>
        <v>0</v>
      </c>
      <c r="C18" s="79">
        <f>'Sectoral Constraints Fig 2-3 AR'!C17</f>
        <v>0</v>
      </c>
      <c r="D18" s="79">
        <f>'Sectoral Constraints Fig 2-3 AR'!D17</f>
        <v>0</v>
      </c>
      <c r="E18" s="79">
        <f>'Sectoral Constraints Fig 2-3 AR'!E17</f>
        <v>0</v>
      </c>
      <c r="F18" s="79">
        <f>'Sectoral Constraints Fig 2-3 AR'!F17</f>
        <v>0</v>
      </c>
      <c r="G18" s="79">
        <f>'Sectoral Constraints Fig 2-3 AR'!G17</f>
        <v>0</v>
      </c>
      <c r="H18" s="79">
        <f>'Sectoral Constraints Fig 2-3 AR'!H17</f>
        <v>0</v>
      </c>
      <c r="I18" s="79">
        <f>'Sectoral Constraints Fig 2-3 AR'!I17</f>
        <v>0</v>
      </c>
      <c r="J18" s="79">
        <f>'Sectoral Constraints Fig 2-3 AR'!J17</f>
        <v>0</v>
      </c>
      <c r="K18" s="79">
        <f>'Sectoral Constraints Fig 2-3 AR'!K17</f>
        <v>0</v>
      </c>
      <c r="L18" s="79">
        <f>'Sectoral Constraints Fig 2-3 AR'!L17</f>
        <v>0</v>
      </c>
      <c r="M18" s="79">
        <f>'Sectoral Constraints Fig 2-3 AR'!M17</f>
        <v>0</v>
      </c>
      <c r="N18" s="79">
        <f>'Sectoral Constraints Fig 2-3 AR'!N17</f>
        <v>0</v>
      </c>
      <c r="O18" s="79">
        <f>'Sectoral Constraints Fig 2-3 AR'!O17</f>
        <v>0</v>
      </c>
      <c r="P18" s="79">
        <f>'Sectoral Constraints Fig 2-3 AR'!P17</f>
        <v>0</v>
      </c>
      <c r="Q18" s="79">
        <f>'Sectoral Constraints Fig 2-3 AR'!Q17</f>
        <v>0</v>
      </c>
      <c r="R18" s="79">
        <f>'Sectoral Constraints Fig 2-3 AR'!R17</f>
        <v>0</v>
      </c>
      <c r="S18" s="79">
        <f>'Sectoral Constraints Fig 2-3 AR'!S17</f>
        <v>0</v>
      </c>
      <c r="T18" s="79">
        <f>'Sectoral Constraints Fig 2-3 AR'!T17</f>
        <v>0</v>
      </c>
      <c r="U18" s="79">
        <f>'Sectoral Constraints Fig 2-3 AR'!U17</f>
        <v>0</v>
      </c>
      <c r="V18" s="79">
        <f>'Sectoral Constraints Fig 2-3 AR'!V17</f>
        <v>0</v>
      </c>
      <c r="W18" s="79">
        <f>'Sectoral Constraints Fig 2-3 AR'!W17</f>
        <v>0</v>
      </c>
      <c r="X18" s="79">
        <f>'Sectoral Constraints Fig 2-3 AR'!X17</f>
        <v>0</v>
      </c>
      <c r="Y18" s="79">
        <f>'Sectoral Constraints Fig 2-3 AR'!Y17</f>
        <v>0</v>
      </c>
      <c r="Z18" s="79">
        <f>'Sectoral Constraints Fig 2-3 AR'!Z17</f>
        <v>0</v>
      </c>
      <c r="AA18" s="79">
        <f>'Sectoral Constraints Fig 2-3 AR'!AA17</f>
        <v>0</v>
      </c>
      <c r="AB18" s="79">
        <f>'Sectoral Constraints Fig 2-3 AR'!AB17</f>
        <v>0</v>
      </c>
      <c r="AC18" s="79">
        <f>'Sectoral Constraints Fig 2-3 AR'!AC17</f>
        <v>0</v>
      </c>
      <c r="AD18" s="79">
        <f>'Sectoral Constraints Fig 2-3 AR'!AD17</f>
        <v>0</v>
      </c>
      <c r="AE18" s="79">
        <f>'Sectoral Constraints Fig 2-3 AR'!AE17</f>
        <v>0</v>
      </c>
      <c r="AF18" s="79">
        <f>'Sectoral Constraints Fig 2-3 AR'!AF17</f>
        <v>0</v>
      </c>
      <c r="AG18" s="79">
        <f>'Sectoral Constraints Fig 2-3 AR'!AG17</f>
        <v>0</v>
      </c>
      <c r="AH18" s="79">
        <f>'Sectoral Constraints Fig 2-3 AR'!AH17</f>
        <v>0</v>
      </c>
      <c r="AI18" s="79">
        <f>'Sectoral Constraints Fig 2-3 AR'!AI17</f>
        <v>0</v>
      </c>
      <c r="AJ18" s="79">
        <f>'Sectoral Constraints Fig 2-3 AR'!AJ17</f>
        <v>0</v>
      </c>
      <c r="AK18" s="79">
        <f>'Sectoral Constraints Fig 2-3 AR'!AK17</f>
        <v>0</v>
      </c>
      <c r="AL18" s="79">
        <f>'Sectoral Constraints Fig 2-3 AR'!AL17</f>
        <v>0</v>
      </c>
      <c r="AM18" s="79">
        <f>'Sectoral Constraints Fig 2-3 AR'!AM17</f>
        <v>0</v>
      </c>
      <c r="AN18" s="79">
        <f>'Sectoral Constraints Fig 2-3 AR'!AN17</f>
        <v>0</v>
      </c>
      <c r="AO18" s="79">
        <f>'Sectoral Constraints Fig 2-3 AR'!AO17</f>
        <v>0</v>
      </c>
      <c r="AP18" s="79">
        <f>'Sectoral Constraints Fig 2-3 AR'!AP17</f>
        <v>0</v>
      </c>
      <c r="AQ18" s="79">
        <f>'Sectoral Constraints Fig 2-3 AR'!AQ17</f>
        <v>0</v>
      </c>
      <c r="AR18" s="79">
        <f>'Sectoral Constraints Fig 2-3 AR'!AR17</f>
        <v>0</v>
      </c>
      <c r="AS18" s="79">
        <f>'Sectoral Constraints Fig 2-3 AR'!AS17</f>
        <v>0</v>
      </c>
      <c r="AT18" s="79">
        <f>'Sectoral Constraints Fig 2-3 AR'!AT17</f>
        <v>0</v>
      </c>
      <c r="AU18" s="79">
        <f>'Sectoral Constraints Fig 2-3 AR'!AU17</f>
        <v>0</v>
      </c>
      <c r="AV18" s="79">
        <f>'Sectoral Constraints Fig 2-3 AR'!AV17</f>
        <v>0</v>
      </c>
      <c r="AW18" s="79">
        <f>'Sectoral Constraints Fig 2-3 AR'!AW17</f>
        <v>0</v>
      </c>
      <c r="AX18" s="79">
        <f>'Sectoral Constraints Fig 2-3 AR'!AX17</f>
        <v>0</v>
      </c>
      <c r="AY18" s="79">
        <f>'Sectoral Constraints Fig 2-3 AR'!AY17</f>
        <v>0</v>
      </c>
      <c r="AZ18" s="79">
        <f>'Sectoral Constraints Fig 2-3 AR'!AZ17</f>
        <v>0</v>
      </c>
      <c r="BA18" s="79">
        <f>'Sectoral Constraints Fig 2-3 AR'!BA17</f>
        <v>0</v>
      </c>
      <c r="BB18" s="79">
        <f>'Sectoral Constraints Fig 2-3 AR'!BB17</f>
        <v>0</v>
      </c>
      <c r="BC18" s="79">
        <f>'Sectoral Constraints Fig 2-3 AR'!BC17</f>
        <v>0</v>
      </c>
      <c r="BD18" s="79">
        <f>'Sectoral Constraints Fig 2-3 AR'!BD17</f>
        <v>0</v>
      </c>
      <c r="BE18" s="79">
        <f>'Sectoral Constraints Fig 2-3 AR'!BE17</f>
        <v>0</v>
      </c>
      <c r="BF18" s="79">
        <f>'Sectoral Constraints Fig 2-3 AR'!BF17</f>
        <v>0</v>
      </c>
      <c r="BG18" s="79">
        <f>'Sectoral Constraints Fig 2-3 AR'!BG17</f>
        <v>0</v>
      </c>
      <c r="BH18" s="79">
        <f>'Sectoral Constraints Fig 2-3 AR'!BH17</f>
        <v>0</v>
      </c>
      <c r="BI18" s="79">
        <f>'Sectoral Constraints Fig 2-3 AR'!BI17</f>
        <v>0</v>
      </c>
      <c r="BJ18" s="79">
        <f>'Sectoral Constraints Fig 2-3 AR'!BJ17</f>
        <v>0</v>
      </c>
      <c r="BK18" s="79">
        <f>'Sectoral Constraints Fig 2-3 AR'!BK17</f>
        <v>0</v>
      </c>
      <c r="BL18" s="79">
        <f>'Sectoral Constraints Fig 2-3 AR'!BL17</f>
        <v>0</v>
      </c>
      <c r="BM18" s="79">
        <f>'Sectoral Constraints Fig 2-3 AR'!BM17</f>
        <v>0</v>
      </c>
      <c r="BN18" s="79">
        <f>'Sectoral Constraints Fig 2-3 AR'!BN17</f>
        <v>0</v>
      </c>
      <c r="BO18" s="79">
        <f>'Sectoral Constraints Fig 2-3 AR'!BO17</f>
        <v>0</v>
      </c>
      <c r="BP18" s="79">
        <f>'Sectoral Constraints Fig 2-3 AR'!BP17</f>
        <v>0</v>
      </c>
      <c r="BQ18" s="79">
        <f>'Sectoral Constraints Fig 2-3 AR'!BQ17</f>
        <v>0</v>
      </c>
      <c r="BR18" s="79">
        <f>'Sectoral Constraints Fig 2-3 AR'!BR17</f>
        <v>0</v>
      </c>
      <c r="BS18" s="79">
        <f>'Sectoral Constraints Fig 2-3 AR'!BS17</f>
        <v>0</v>
      </c>
      <c r="BT18" s="79">
        <f>'Sectoral Constraints Fig 2-3 AR'!BT17</f>
        <v>0</v>
      </c>
      <c r="BU18" s="79">
        <f>'Sectoral Constraints Fig 2-3 AR'!BU17</f>
        <v>0</v>
      </c>
      <c r="BV18" s="79">
        <f>'Sectoral Constraints Fig 2-3 AR'!BV17</f>
        <v>0</v>
      </c>
      <c r="BW18" s="79">
        <f>'Sectoral Constraints Fig 2-3 AR'!BW17</f>
        <v>0</v>
      </c>
      <c r="BX18" s="79">
        <f>'Sectoral Constraints Fig 2-3 AR'!BX17</f>
        <v>0</v>
      </c>
      <c r="BY18" s="79">
        <f>'Sectoral Constraints Fig 2-3 AR'!BY17</f>
        <v>0</v>
      </c>
      <c r="BZ18" s="79">
        <f>'Sectoral Constraints Fig 2-3 AR'!BZ17</f>
        <v>0</v>
      </c>
      <c r="CA18" s="79">
        <f>'Sectoral Constraints Fig 2-3 AR'!CA17</f>
        <v>0</v>
      </c>
      <c r="CB18" s="79">
        <f>'Sectoral Constraints Fig 2-3 AR'!CB17</f>
        <v>0</v>
      </c>
      <c r="CC18" s="79">
        <f>'Sectoral Constraints Fig 2-3 AR'!CC17</f>
        <v>0</v>
      </c>
      <c r="CD18" s="79">
        <f>'Sectoral Constraints Fig 2-3 AR'!CD17</f>
        <v>0</v>
      </c>
      <c r="CE18" s="79">
        <f>'Sectoral Constraints Fig 2-3 AR'!CE17</f>
        <v>0</v>
      </c>
      <c r="CF18" s="79">
        <f>'Sectoral Constraints Fig 2-3 AR'!CF17</f>
        <v>0</v>
      </c>
      <c r="CG18" s="79">
        <f>'Sectoral Constraints Fig 2-3 AR'!CG17</f>
        <v>0</v>
      </c>
      <c r="CH18" s="79">
        <f>'Sectoral Constraints Fig 2-3 AR'!CH17</f>
        <v>0</v>
      </c>
      <c r="CI18" s="79">
        <f>'Sectoral Constraints Fig 2-3 AR'!CI17</f>
        <v>0</v>
      </c>
      <c r="CJ18" s="79">
        <f>'Sectoral Constraints Fig 2-3 AR'!CJ17</f>
        <v>0</v>
      </c>
      <c r="CK18" s="79">
        <f>'Sectoral Constraints Fig 2-3 AR'!CK17</f>
        <v>0</v>
      </c>
      <c r="CL18" s="79">
        <f>'Sectoral Constraints Fig 2-3 AR'!CL17</f>
        <v>0</v>
      </c>
      <c r="CM18" s="79">
        <f>'Sectoral Constraints Fig 2-3 AR'!CM17</f>
        <v>0</v>
      </c>
      <c r="CN18" s="79">
        <f>'Sectoral Constraints Fig 2-3 AR'!CN17</f>
        <v>0</v>
      </c>
      <c r="CO18" s="79">
        <f>'Sectoral Constraints Fig 2-3 AR'!CO17</f>
        <v>0</v>
      </c>
      <c r="CP18" s="79">
        <f>'Sectoral Constraints Fig 2-3 AR'!CP17</f>
        <v>0</v>
      </c>
      <c r="CQ18" s="79">
        <f>'Sectoral Constraints Fig 2-3 AR'!CQ17</f>
        <v>0</v>
      </c>
      <c r="CR18" s="79">
        <f>'Sectoral Constraints Fig 2-3 AR'!CR17</f>
        <v>0</v>
      </c>
      <c r="CS18" s="79">
        <f>'Sectoral Constraints Fig 2-3 AR'!CS17</f>
        <v>0</v>
      </c>
      <c r="CT18" s="79">
        <f>'Sectoral Constraints Fig 2-3 AR'!CT17</f>
        <v>0</v>
      </c>
      <c r="CU18" s="79">
        <f>'Sectoral Constraints Fig 2-3 AR'!CU17</f>
        <v>0</v>
      </c>
      <c r="CV18" s="79">
        <f>'Sectoral Constraints Fig 2-3 AR'!CV17</f>
        <v>0</v>
      </c>
      <c r="CW18" s="79">
        <f>'Sectoral Constraints Fig 2-3 AR'!CW17</f>
        <v>0</v>
      </c>
      <c r="CX18" s="79">
        <f>'Sectoral Constraints Fig 2-3 AR'!CX17</f>
        <v>0</v>
      </c>
      <c r="CY18" s="79">
        <f>'Sectoral Constraints Fig 2-3 AR'!CY17</f>
        <v>0</v>
      </c>
      <c r="CZ18" s="79">
        <f>'Sectoral Constraints Fig 2-3 AR'!CZ17</f>
        <v>0</v>
      </c>
      <c r="DA18" s="79">
        <f>'Sectoral Constraints Fig 2-3 AR'!DA17</f>
        <v>0</v>
      </c>
      <c r="DB18" s="79">
        <f>'Sectoral Constraints Fig 2-3 AR'!DB17</f>
        <v>0</v>
      </c>
      <c r="DC18" s="79">
        <f>'Sectoral Constraints Fig 2-3 AR'!DC17</f>
        <v>0</v>
      </c>
      <c r="DD18" s="79">
        <f>'Sectoral Constraints Fig 2-3 AR'!DD17</f>
        <v>0</v>
      </c>
      <c r="DE18" s="79">
        <f>'Sectoral Constraints Fig 2-3 AR'!DE17</f>
        <v>0</v>
      </c>
      <c r="DF18" s="79">
        <f>'Sectoral Constraints Fig 2-3 AR'!DF17</f>
        <v>13</v>
      </c>
      <c r="DG18" s="79" t="str">
        <f>'Sectoral Constraints Fig 2-3 AR'!DG17</f>
        <v>ــ</v>
      </c>
      <c r="DH18" s="79">
        <f>'Sectoral Constraints Fig 2-3 AR'!DH17</f>
        <v>50</v>
      </c>
      <c r="DI18" s="79">
        <f>'Sectoral Constraints Fig 2-3 AR'!DI17</f>
        <v>20</v>
      </c>
      <c r="DJ18" s="79">
        <f>'Sectoral Constraints Fig 2-3 AR'!DJ17</f>
        <v>28</v>
      </c>
      <c r="DK18" s="79">
        <f>'Sectoral Constraints Fig 2-3 AR'!DK17</f>
        <v>23</v>
      </c>
      <c r="DL18" s="79">
        <f>'Sectoral Constraints Fig 2-3 AR'!DL17</f>
        <v>5.4298642533936654</v>
      </c>
      <c r="DM18" s="79">
        <f>'Sectoral Constraints Fig 2-3 AR'!DM17</f>
        <v>0</v>
      </c>
      <c r="DN18" s="79">
        <f>'Sectoral Constraints Fig 2-3 AR'!DN17</f>
        <v>0</v>
      </c>
      <c r="DO18" s="79">
        <f>'Sectoral Constraints Fig 2-3 AR'!DO17</f>
        <v>3.8888888888888884</v>
      </c>
      <c r="DP18" s="79">
        <f>'Sectoral Constraints Fig 2-3 AR'!DP17</f>
        <v>0</v>
      </c>
      <c r="DQ18" s="79">
        <f>'Sectoral Constraints Fig 2-3 AR'!DQ17</f>
        <v>94.908551655956501</v>
      </c>
      <c r="DR18" s="79">
        <f>'Sectoral Constraints Fig 2-3 AR'!DR17</f>
        <v>7.2727272727272725</v>
      </c>
      <c r="DS18" s="79">
        <f>'Sectoral Constraints Fig 2-3 AR'!DS17</f>
        <v>0</v>
      </c>
      <c r="DT18" s="79">
        <f>'Sectoral Constraints Fig 2-3 AR'!DT17</f>
        <v>0</v>
      </c>
      <c r="DU18" s="79">
        <f>'Sectoral Constraints Fig 2-3 AR'!DU17</f>
        <v>17.236467236467231</v>
      </c>
      <c r="DV18" s="79">
        <f>'Sectoral Constraints Fig 2-3 AR'!DV17</f>
        <v>0</v>
      </c>
      <c r="DW18" s="79">
        <f>'Sectoral Constraints Fig 2-3 AR'!DW17</f>
        <v>41.379310344827587</v>
      </c>
      <c r="DX18" s="79">
        <v>1.7857142857142856</v>
      </c>
      <c r="DY18" s="79">
        <v>0</v>
      </c>
      <c r="DZ18" s="79">
        <v>0</v>
      </c>
      <c r="EA18" s="79">
        <v>0</v>
      </c>
      <c r="EB18" s="100">
        <v>0</v>
      </c>
      <c r="EC18" s="79">
        <v>40</v>
      </c>
      <c r="ED18" s="100">
        <v>0</v>
      </c>
      <c r="EE18" s="100">
        <v>0</v>
      </c>
      <c r="EF18" s="100">
        <v>0</v>
      </c>
      <c r="EG18" s="100">
        <v>8.3333333333333321</v>
      </c>
      <c r="EH18" s="100">
        <v>0</v>
      </c>
      <c r="EI18" s="100">
        <v>46.153846153846153</v>
      </c>
      <c r="EJ18" s="100">
        <v>1.7621145374449341</v>
      </c>
      <c r="EK18" s="100">
        <v>0</v>
      </c>
      <c r="EL18" s="100">
        <v>0</v>
      </c>
      <c r="EM18" s="100">
        <v>0</v>
      </c>
      <c r="EN18" s="100">
        <v>0</v>
      </c>
      <c r="EO18" s="100">
        <v>35.714285714285715</v>
      </c>
      <c r="EP18" s="100">
        <v>2</v>
      </c>
      <c r="EQ18" s="100">
        <v>0</v>
      </c>
      <c r="ER18" s="100">
        <v>0</v>
      </c>
      <c r="ES18" s="100">
        <v>0</v>
      </c>
      <c r="ET18" s="100">
        <v>0</v>
      </c>
      <c r="EU18" s="100">
        <v>56</v>
      </c>
      <c r="EV18" s="100">
        <v>3.1111111111111116</v>
      </c>
      <c r="EW18" s="100">
        <v>0</v>
      </c>
      <c r="EX18" s="100">
        <v>8.5714285714285712</v>
      </c>
      <c r="EY18" s="100">
        <v>0</v>
      </c>
      <c r="EZ18" s="100">
        <v>28.571428571428569</v>
      </c>
      <c r="FA18" s="100">
        <v>25.396825396825395</v>
      </c>
    </row>
    <row r="19" spans="1:157" s="80" customFormat="1" ht="16.5" x14ac:dyDescent="0.3">
      <c r="A19" s="78" t="s">
        <v>65</v>
      </c>
      <c r="B19" s="79">
        <f>'Sectoral Constraints Fig 2-3 AR'!B18</f>
        <v>0</v>
      </c>
      <c r="C19" s="79">
        <f>'Sectoral Constraints Fig 2-3 AR'!C18</f>
        <v>0</v>
      </c>
      <c r="D19" s="79">
        <f>'Sectoral Constraints Fig 2-3 AR'!D18</f>
        <v>0</v>
      </c>
      <c r="E19" s="79">
        <f>'Sectoral Constraints Fig 2-3 AR'!E18</f>
        <v>0</v>
      </c>
      <c r="F19" s="79">
        <f>'Sectoral Constraints Fig 2-3 AR'!F18</f>
        <v>0</v>
      </c>
      <c r="G19" s="79">
        <f>'Sectoral Constraints Fig 2-3 AR'!G18</f>
        <v>0</v>
      </c>
      <c r="H19" s="79">
        <f>'Sectoral Constraints Fig 2-3 AR'!H18</f>
        <v>0</v>
      </c>
      <c r="I19" s="79">
        <f>'Sectoral Constraints Fig 2-3 AR'!I18</f>
        <v>0</v>
      </c>
      <c r="J19" s="79">
        <f>'Sectoral Constraints Fig 2-3 AR'!J18</f>
        <v>0</v>
      </c>
      <c r="K19" s="79">
        <f>'Sectoral Constraints Fig 2-3 AR'!K18</f>
        <v>0</v>
      </c>
      <c r="L19" s="79">
        <f>'Sectoral Constraints Fig 2-3 AR'!L18</f>
        <v>0</v>
      </c>
      <c r="M19" s="79">
        <f>'Sectoral Constraints Fig 2-3 AR'!M18</f>
        <v>0</v>
      </c>
      <c r="N19" s="79">
        <f>'Sectoral Constraints Fig 2-3 AR'!N18</f>
        <v>0</v>
      </c>
      <c r="O19" s="79">
        <f>'Sectoral Constraints Fig 2-3 AR'!O18</f>
        <v>0</v>
      </c>
      <c r="P19" s="79">
        <f>'Sectoral Constraints Fig 2-3 AR'!P18</f>
        <v>0</v>
      </c>
      <c r="Q19" s="79">
        <f>'Sectoral Constraints Fig 2-3 AR'!Q18</f>
        <v>0</v>
      </c>
      <c r="R19" s="79">
        <f>'Sectoral Constraints Fig 2-3 AR'!R18</f>
        <v>0</v>
      </c>
      <c r="S19" s="79">
        <f>'Sectoral Constraints Fig 2-3 AR'!S18</f>
        <v>0</v>
      </c>
      <c r="T19" s="79">
        <f>'Sectoral Constraints Fig 2-3 AR'!T18</f>
        <v>0</v>
      </c>
      <c r="U19" s="79">
        <f>'Sectoral Constraints Fig 2-3 AR'!U18</f>
        <v>0</v>
      </c>
      <c r="V19" s="79">
        <f>'Sectoral Constraints Fig 2-3 AR'!V18</f>
        <v>0</v>
      </c>
      <c r="W19" s="79">
        <f>'Sectoral Constraints Fig 2-3 AR'!W18</f>
        <v>0</v>
      </c>
      <c r="X19" s="79">
        <f>'Sectoral Constraints Fig 2-3 AR'!X18</f>
        <v>0</v>
      </c>
      <c r="Y19" s="79">
        <f>'Sectoral Constraints Fig 2-3 AR'!Y18</f>
        <v>0</v>
      </c>
      <c r="Z19" s="79">
        <f>'Sectoral Constraints Fig 2-3 AR'!Z18</f>
        <v>0</v>
      </c>
      <c r="AA19" s="79">
        <f>'Sectoral Constraints Fig 2-3 AR'!AA18</f>
        <v>0</v>
      </c>
      <c r="AB19" s="79">
        <f>'Sectoral Constraints Fig 2-3 AR'!AB18</f>
        <v>0</v>
      </c>
      <c r="AC19" s="79">
        <f>'Sectoral Constraints Fig 2-3 AR'!AC18</f>
        <v>0</v>
      </c>
      <c r="AD19" s="79">
        <f>'Sectoral Constraints Fig 2-3 AR'!AD18</f>
        <v>0</v>
      </c>
      <c r="AE19" s="79">
        <f>'Sectoral Constraints Fig 2-3 AR'!AE18</f>
        <v>0</v>
      </c>
      <c r="AF19" s="79">
        <f>'Sectoral Constraints Fig 2-3 AR'!AF18</f>
        <v>0</v>
      </c>
      <c r="AG19" s="79">
        <f>'Sectoral Constraints Fig 2-3 AR'!AG18</f>
        <v>0</v>
      </c>
      <c r="AH19" s="79">
        <f>'Sectoral Constraints Fig 2-3 AR'!AH18</f>
        <v>0</v>
      </c>
      <c r="AI19" s="79">
        <f>'Sectoral Constraints Fig 2-3 AR'!AI18</f>
        <v>0</v>
      </c>
      <c r="AJ19" s="79">
        <f>'Sectoral Constraints Fig 2-3 AR'!AJ18</f>
        <v>0</v>
      </c>
      <c r="AK19" s="79">
        <f>'Sectoral Constraints Fig 2-3 AR'!AK18</f>
        <v>0</v>
      </c>
      <c r="AL19" s="79">
        <f>'Sectoral Constraints Fig 2-3 AR'!AL18</f>
        <v>0</v>
      </c>
      <c r="AM19" s="79">
        <f>'Sectoral Constraints Fig 2-3 AR'!AM18</f>
        <v>0</v>
      </c>
      <c r="AN19" s="79">
        <f>'Sectoral Constraints Fig 2-3 AR'!AN18</f>
        <v>0</v>
      </c>
      <c r="AO19" s="79">
        <f>'Sectoral Constraints Fig 2-3 AR'!AO18</f>
        <v>0</v>
      </c>
      <c r="AP19" s="79">
        <f>'Sectoral Constraints Fig 2-3 AR'!AP18</f>
        <v>0</v>
      </c>
      <c r="AQ19" s="79">
        <f>'Sectoral Constraints Fig 2-3 AR'!AQ18</f>
        <v>0</v>
      </c>
      <c r="AR19" s="79">
        <f>'Sectoral Constraints Fig 2-3 AR'!AR18</f>
        <v>0</v>
      </c>
      <c r="AS19" s="79">
        <f>'Sectoral Constraints Fig 2-3 AR'!AS18</f>
        <v>0</v>
      </c>
      <c r="AT19" s="79">
        <f>'Sectoral Constraints Fig 2-3 AR'!AT18</f>
        <v>0</v>
      </c>
      <c r="AU19" s="79">
        <f>'Sectoral Constraints Fig 2-3 AR'!AU18</f>
        <v>0</v>
      </c>
      <c r="AV19" s="79">
        <f>'Sectoral Constraints Fig 2-3 AR'!AV18</f>
        <v>0</v>
      </c>
      <c r="AW19" s="79">
        <f>'Sectoral Constraints Fig 2-3 AR'!AW18</f>
        <v>0</v>
      </c>
      <c r="AX19" s="79">
        <f>'Sectoral Constraints Fig 2-3 AR'!AX18</f>
        <v>0</v>
      </c>
      <c r="AY19" s="79">
        <f>'Sectoral Constraints Fig 2-3 AR'!AY18</f>
        <v>0</v>
      </c>
      <c r="AZ19" s="79">
        <f>'Sectoral Constraints Fig 2-3 AR'!AZ18</f>
        <v>0</v>
      </c>
      <c r="BA19" s="79">
        <f>'Sectoral Constraints Fig 2-3 AR'!BA18</f>
        <v>0</v>
      </c>
      <c r="BB19" s="79">
        <f>'Sectoral Constraints Fig 2-3 AR'!BB18</f>
        <v>0</v>
      </c>
      <c r="BC19" s="79">
        <f>'Sectoral Constraints Fig 2-3 AR'!BC18</f>
        <v>0</v>
      </c>
      <c r="BD19" s="79">
        <f>'Sectoral Constraints Fig 2-3 AR'!BD18</f>
        <v>0</v>
      </c>
      <c r="BE19" s="79">
        <f>'Sectoral Constraints Fig 2-3 AR'!BE18</f>
        <v>0</v>
      </c>
      <c r="BF19" s="79">
        <f>'Sectoral Constraints Fig 2-3 AR'!BF18</f>
        <v>0</v>
      </c>
      <c r="BG19" s="79">
        <f>'Sectoral Constraints Fig 2-3 AR'!BG18</f>
        <v>0</v>
      </c>
      <c r="BH19" s="79">
        <f>'Sectoral Constraints Fig 2-3 AR'!BH18</f>
        <v>0</v>
      </c>
      <c r="BI19" s="79">
        <f>'Sectoral Constraints Fig 2-3 AR'!BI18</f>
        <v>0</v>
      </c>
      <c r="BJ19" s="79">
        <f>'Sectoral Constraints Fig 2-3 AR'!BJ18</f>
        <v>0</v>
      </c>
      <c r="BK19" s="79">
        <f>'Sectoral Constraints Fig 2-3 AR'!BK18</f>
        <v>0</v>
      </c>
      <c r="BL19" s="79">
        <f>'Sectoral Constraints Fig 2-3 AR'!BL18</f>
        <v>0</v>
      </c>
      <c r="BM19" s="79">
        <f>'Sectoral Constraints Fig 2-3 AR'!BM18</f>
        <v>0</v>
      </c>
      <c r="BN19" s="79">
        <f>'Sectoral Constraints Fig 2-3 AR'!BN18</f>
        <v>0</v>
      </c>
      <c r="BO19" s="79">
        <f>'Sectoral Constraints Fig 2-3 AR'!BO18</f>
        <v>0</v>
      </c>
      <c r="BP19" s="79">
        <f>'Sectoral Constraints Fig 2-3 AR'!BP18</f>
        <v>0</v>
      </c>
      <c r="BQ19" s="79">
        <f>'Sectoral Constraints Fig 2-3 AR'!BQ18</f>
        <v>0</v>
      </c>
      <c r="BR19" s="79">
        <f>'Sectoral Constraints Fig 2-3 AR'!BR18</f>
        <v>0</v>
      </c>
      <c r="BS19" s="79">
        <f>'Sectoral Constraints Fig 2-3 AR'!BS18</f>
        <v>0</v>
      </c>
      <c r="BT19" s="79">
        <f>'Sectoral Constraints Fig 2-3 AR'!BT18</f>
        <v>0</v>
      </c>
      <c r="BU19" s="79">
        <f>'Sectoral Constraints Fig 2-3 AR'!BU18</f>
        <v>0</v>
      </c>
      <c r="BV19" s="79">
        <f>'Sectoral Constraints Fig 2-3 AR'!BV18</f>
        <v>0</v>
      </c>
      <c r="BW19" s="79">
        <f>'Sectoral Constraints Fig 2-3 AR'!BW18</f>
        <v>0</v>
      </c>
      <c r="BX19" s="79">
        <f>'Sectoral Constraints Fig 2-3 AR'!BX18</f>
        <v>0</v>
      </c>
      <c r="BY19" s="79">
        <f>'Sectoral Constraints Fig 2-3 AR'!BY18</f>
        <v>0</v>
      </c>
      <c r="BZ19" s="79">
        <f>'Sectoral Constraints Fig 2-3 AR'!BZ18</f>
        <v>0</v>
      </c>
      <c r="CA19" s="79">
        <f>'Sectoral Constraints Fig 2-3 AR'!CA18</f>
        <v>0</v>
      </c>
      <c r="CB19" s="79">
        <f>'Sectoral Constraints Fig 2-3 AR'!CB18</f>
        <v>0</v>
      </c>
      <c r="CC19" s="79">
        <f>'Sectoral Constraints Fig 2-3 AR'!CC18</f>
        <v>0</v>
      </c>
      <c r="CD19" s="79">
        <f>'Sectoral Constraints Fig 2-3 AR'!CD18</f>
        <v>0</v>
      </c>
      <c r="CE19" s="79">
        <f>'Sectoral Constraints Fig 2-3 AR'!CE18</f>
        <v>0</v>
      </c>
      <c r="CF19" s="79">
        <f>'Sectoral Constraints Fig 2-3 AR'!CF18</f>
        <v>0</v>
      </c>
      <c r="CG19" s="79">
        <f>'Sectoral Constraints Fig 2-3 AR'!CG18</f>
        <v>0</v>
      </c>
      <c r="CH19" s="79">
        <f>'Sectoral Constraints Fig 2-3 AR'!CH18</f>
        <v>0</v>
      </c>
      <c r="CI19" s="79">
        <f>'Sectoral Constraints Fig 2-3 AR'!CI18</f>
        <v>0</v>
      </c>
      <c r="CJ19" s="79">
        <f>'Sectoral Constraints Fig 2-3 AR'!CJ18</f>
        <v>0</v>
      </c>
      <c r="CK19" s="79">
        <f>'Sectoral Constraints Fig 2-3 AR'!CK18</f>
        <v>0</v>
      </c>
      <c r="CL19" s="79">
        <f>'Sectoral Constraints Fig 2-3 AR'!CL18</f>
        <v>0</v>
      </c>
      <c r="CM19" s="79">
        <f>'Sectoral Constraints Fig 2-3 AR'!CM18</f>
        <v>0</v>
      </c>
      <c r="CN19" s="79">
        <f>'Sectoral Constraints Fig 2-3 AR'!CN18</f>
        <v>0</v>
      </c>
      <c r="CO19" s="79">
        <f>'Sectoral Constraints Fig 2-3 AR'!CO18</f>
        <v>0</v>
      </c>
      <c r="CP19" s="79">
        <f>'Sectoral Constraints Fig 2-3 AR'!CP18</f>
        <v>0</v>
      </c>
      <c r="CQ19" s="79">
        <f>'Sectoral Constraints Fig 2-3 AR'!CQ18</f>
        <v>0</v>
      </c>
      <c r="CR19" s="79">
        <f>'Sectoral Constraints Fig 2-3 AR'!CR18</f>
        <v>0</v>
      </c>
      <c r="CS19" s="79">
        <f>'Sectoral Constraints Fig 2-3 AR'!CS18</f>
        <v>0</v>
      </c>
      <c r="CT19" s="79">
        <f>'Sectoral Constraints Fig 2-3 AR'!CT18</f>
        <v>0</v>
      </c>
      <c r="CU19" s="79">
        <f>'Sectoral Constraints Fig 2-3 AR'!CU18</f>
        <v>0</v>
      </c>
      <c r="CV19" s="79">
        <f>'Sectoral Constraints Fig 2-3 AR'!CV18</f>
        <v>0</v>
      </c>
      <c r="CW19" s="79">
        <f>'Sectoral Constraints Fig 2-3 AR'!CW18</f>
        <v>0</v>
      </c>
      <c r="CX19" s="79">
        <f>'Sectoral Constraints Fig 2-3 AR'!CX18</f>
        <v>0</v>
      </c>
      <c r="CY19" s="79">
        <f>'Sectoral Constraints Fig 2-3 AR'!CY18</f>
        <v>0</v>
      </c>
      <c r="CZ19" s="79">
        <f>'Sectoral Constraints Fig 2-3 AR'!CZ18</f>
        <v>0</v>
      </c>
      <c r="DA19" s="79">
        <f>'Sectoral Constraints Fig 2-3 AR'!DA18</f>
        <v>0</v>
      </c>
      <c r="DB19" s="79">
        <f>'Sectoral Constraints Fig 2-3 AR'!DB18</f>
        <v>0</v>
      </c>
      <c r="DC19" s="79">
        <f>'Sectoral Constraints Fig 2-3 AR'!DC18</f>
        <v>0</v>
      </c>
      <c r="DD19" s="79">
        <f>'Sectoral Constraints Fig 2-3 AR'!DD18</f>
        <v>0</v>
      </c>
      <c r="DE19" s="79">
        <f>'Sectoral Constraints Fig 2-3 AR'!DE18</f>
        <v>0</v>
      </c>
      <c r="DF19" s="79">
        <f>'Sectoral Constraints Fig 2-3 AR'!DF18</f>
        <v>9</v>
      </c>
      <c r="DG19" s="79">
        <f>'Sectoral Constraints Fig 2-3 AR'!DG18</f>
        <v>23</v>
      </c>
      <c r="DH19" s="79">
        <f>'Sectoral Constraints Fig 2-3 AR'!DH18</f>
        <v>0</v>
      </c>
      <c r="DI19" s="79">
        <f>'Sectoral Constraints Fig 2-3 AR'!DI18</f>
        <v>0</v>
      </c>
      <c r="DJ19" s="79">
        <f>'Sectoral Constraints Fig 2-3 AR'!DJ18</f>
        <v>0</v>
      </c>
      <c r="DK19" s="79">
        <f>'Sectoral Constraints Fig 2-3 AR'!DK18</f>
        <v>0</v>
      </c>
      <c r="DL19" s="79">
        <f>'Sectoral Constraints Fig 2-3 AR'!DL18</f>
        <v>4.0723981900452486</v>
      </c>
      <c r="DM19" s="79">
        <f>'Sectoral Constraints Fig 2-3 AR'!DM18</f>
        <v>20.000000000000004</v>
      </c>
      <c r="DN19" s="79">
        <f>'Sectoral Constraints Fig 2-3 AR'!DN18</f>
        <v>0</v>
      </c>
      <c r="DO19" s="79">
        <f>'Sectoral Constraints Fig 2-3 AR'!DO18</f>
        <v>1.1111111111111109</v>
      </c>
      <c r="DP19" s="79">
        <f>'Sectoral Constraints Fig 2-3 AR'!DP18</f>
        <v>0</v>
      </c>
      <c r="DQ19" s="79">
        <f>'Sectoral Constraints Fig 2-3 AR'!DQ18</f>
        <v>0</v>
      </c>
      <c r="DR19" s="79">
        <f>'Sectoral Constraints Fig 2-3 AR'!DR18</f>
        <v>1.3636363636363633</v>
      </c>
      <c r="DS19" s="79">
        <f>'Sectoral Constraints Fig 2-3 AR'!DS18</f>
        <v>11.320754716981133</v>
      </c>
      <c r="DT19" s="79">
        <f>'Sectoral Constraints Fig 2-3 AR'!DT18</f>
        <v>0</v>
      </c>
      <c r="DU19" s="79">
        <f>'Sectoral Constraints Fig 2-3 AR'!DU18</f>
        <v>0</v>
      </c>
      <c r="DV19" s="79">
        <f>'Sectoral Constraints Fig 2-3 AR'!DV18</f>
        <v>0</v>
      </c>
      <c r="DW19" s="79">
        <f>'Sectoral Constraints Fig 2-3 AR'!DW18</f>
        <v>0</v>
      </c>
      <c r="DX19" s="79">
        <v>1.7857142857142856</v>
      </c>
      <c r="DY19" s="79">
        <v>7.8431372549019605</v>
      </c>
      <c r="DZ19" s="79">
        <v>0</v>
      </c>
      <c r="EA19" s="79">
        <v>0</v>
      </c>
      <c r="EB19" s="100">
        <v>0</v>
      </c>
      <c r="EC19" s="79">
        <v>0</v>
      </c>
      <c r="ED19" s="100">
        <v>0.87336244541484709</v>
      </c>
      <c r="EE19" s="100">
        <v>8.9285714285714253</v>
      </c>
      <c r="EF19" s="100">
        <v>0</v>
      </c>
      <c r="EG19" s="100">
        <v>0</v>
      </c>
      <c r="EH19" s="100">
        <v>0</v>
      </c>
      <c r="EI19" s="100">
        <v>0</v>
      </c>
      <c r="EJ19" s="100">
        <v>14.096916299559473</v>
      </c>
      <c r="EK19" s="100">
        <v>12.962962962962965</v>
      </c>
      <c r="EL19" s="100">
        <v>11.76470588235294</v>
      </c>
      <c r="EM19" s="100">
        <v>19.047619047619044</v>
      </c>
      <c r="EN19" s="100">
        <v>0</v>
      </c>
      <c r="EO19" s="100">
        <v>0</v>
      </c>
      <c r="EP19" s="100">
        <v>16</v>
      </c>
      <c r="EQ19" s="100">
        <v>11</v>
      </c>
      <c r="ER19" s="100">
        <v>0</v>
      </c>
      <c r="ES19" s="100">
        <v>17</v>
      </c>
      <c r="ET19" s="100">
        <v>0</v>
      </c>
      <c r="EU19" s="100">
        <v>0</v>
      </c>
      <c r="EV19" s="100">
        <v>8</v>
      </c>
      <c r="EW19" s="100">
        <v>3.7037037037037042</v>
      </c>
      <c r="EX19" s="100">
        <v>0</v>
      </c>
      <c r="EY19" s="100">
        <v>15.217391304347828</v>
      </c>
      <c r="EZ19" s="100">
        <v>0</v>
      </c>
      <c r="FA19" s="100">
        <v>0</v>
      </c>
    </row>
    <row r="20" spans="1:157" s="80" customFormat="1" ht="16.5" x14ac:dyDescent="0.3">
      <c r="A20" s="78" t="s">
        <v>67</v>
      </c>
      <c r="B20" s="79">
        <f>'Sectoral Constraints Fig 2-3 AR'!B19</f>
        <v>0</v>
      </c>
      <c r="C20" s="79">
        <f>'Sectoral Constraints Fig 2-3 AR'!C19</f>
        <v>0</v>
      </c>
      <c r="D20" s="79">
        <f>'Sectoral Constraints Fig 2-3 AR'!D19</f>
        <v>0</v>
      </c>
      <c r="E20" s="79">
        <f>'Sectoral Constraints Fig 2-3 AR'!E19</f>
        <v>0</v>
      </c>
      <c r="F20" s="79">
        <f>'Sectoral Constraints Fig 2-3 AR'!F19</f>
        <v>0</v>
      </c>
      <c r="G20" s="79">
        <f>'Sectoral Constraints Fig 2-3 AR'!G19</f>
        <v>0</v>
      </c>
      <c r="H20" s="79">
        <f>'Sectoral Constraints Fig 2-3 AR'!H19</f>
        <v>0</v>
      </c>
      <c r="I20" s="79">
        <f>'Sectoral Constraints Fig 2-3 AR'!I19</f>
        <v>0</v>
      </c>
      <c r="J20" s="79">
        <f>'Sectoral Constraints Fig 2-3 AR'!J19</f>
        <v>0</v>
      </c>
      <c r="K20" s="79">
        <f>'Sectoral Constraints Fig 2-3 AR'!K19</f>
        <v>0</v>
      </c>
      <c r="L20" s="79">
        <f>'Sectoral Constraints Fig 2-3 AR'!L19</f>
        <v>0</v>
      </c>
      <c r="M20" s="79">
        <f>'Sectoral Constraints Fig 2-3 AR'!M19</f>
        <v>0</v>
      </c>
      <c r="N20" s="79">
        <f>'Sectoral Constraints Fig 2-3 AR'!N19</f>
        <v>0</v>
      </c>
      <c r="O20" s="79">
        <f>'Sectoral Constraints Fig 2-3 AR'!O19</f>
        <v>0</v>
      </c>
      <c r="P20" s="79">
        <f>'Sectoral Constraints Fig 2-3 AR'!P19</f>
        <v>0</v>
      </c>
      <c r="Q20" s="79">
        <f>'Sectoral Constraints Fig 2-3 AR'!Q19</f>
        <v>0</v>
      </c>
      <c r="R20" s="79">
        <f>'Sectoral Constraints Fig 2-3 AR'!R19</f>
        <v>0</v>
      </c>
      <c r="S20" s="79">
        <f>'Sectoral Constraints Fig 2-3 AR'!S19</f>
        <v>0</v>
      </c>
      <c r="T20" s="79">
        <f>'Sectoral Constraints Fig 2-3 AR'!T19</f>
        <v>0</v>
      </c>
      <c r="U20" s="79">
        <f>'Sectoral Constraints Fig 2-3 AR'!U19</f>
        <v>0</v>
      </c>
      <c r="V20" s="79">
        <f>'Sectoral Constraints Fig 2-3 AR'!V19</f>
        <v>0</v>
      </c>
      <c r="W20" s="79">
        <f>'Sectoral Constraints Fig 2-3 AR'!W19</f>
        <v>0</v>
      </c>
      <c r="X20" s="79">
        <f>'Sectoral Constraints Fig 2-3 AR'!X19</f>
        <v>0</v>
      </c>
      <c r="Y20" s="79">
        <f>'Sectoral Constraints Fig 2-3 AR'!Y19</f>
        <v>0</v>
      </c>
      <c r="Z20" s="79">
        <f>'Sectoral Constraints Fig 2-3 AR'!Z19</f>
        <v>0</v>
      </c>
      <c r="AA20" s="79">
        <f>'Sectoral Constraints Fig 2-3 AR'!AA19</f>
        <v>0</v>
      </c>
      <c r="AB20" s="79">
        <f>'Sectoral Constraints Fig 2-3 AR'!AB19</f>
        <v>0</v>
      </c>
      <c r="AC20" s="79">
        <f>'Sectoral Constraints Fig 2-3 AR'!AC19</f>
        <v>0</v>
      </c>
      <c r="AD20" s="79">
        <f>'Sectoral Constraints Fig 2-3 AR'!AD19</f>
        <v>0</v>
      </c>
      <c r="AE20" s="79">
        <f>'Sectoral Constraints Fig 2-3 AR'!AE19</f>
        <v>0</v>
      </c>
      <c r="AF20" s="79">
        <f>'Sectoral Constraints Fig 2-3 AR'!AF19</f>
        <v>0</v>
      </c>
      <c r="AG20" s="79">
        <f>'Sectoral Constraints Fig 2-3 AR'!AG19</f>
        <v>0</v>
      </c>
      <c r="AH20" s="79">
        <f>'Sectoral Constraints Fig 2-3 AR'!AH19</f>
        <v>0</v>
      </c>
      <c r="AI20" s="79">
        <f>'Sectoral Constraints Fig 2-3 AR'!AI19</f>
        <v>0</v>
      </c>
      <c r="AJ20" s="79">
        <f>'Sectoral Constraints Fig 2-3 AR'!AJ19</f>
        <v>0</v>
      </c>
      <c r="AK20" s="79">
        <f>'Sectoral Constraints Fig 2-3 AR'!AK19</f>
        <v>0</v>
      </c>
      <c r="AL20" s="79">
        <f>'Sectoral Constraints Fig 2-3 AR'!AL19</f>
        <v>0</v>
      </c>
      <c r="AM20" s="79">
        <f>'Sectoral Constraints Fig 2-3 AR'!AM19</f>
        <v>0</v>
      </c>
      <c r="AN20" s="79">
        <f>'Sectoral Constraints Fig 2-3 AR'!AN19</f>
        <v>0</v>
      </c>
      <c r="AO20" s="79">
        <f>'Sectoral Constraints Fig 2-3 AR'!AO19</f>
        <v>0</v>
      </c>
      <c r="AP20" s="79">
        <f>'Sectoral Constraints Fig 2-3 AR'!AP19</f>
        <v>0</v>
      </c>
      <c r="AQ20" s="79">
        <f>'Sectoral Constraints Fig 2-3 AR'!AQ19</f>
        <v>0</v>
      </c>
      <c r="AR20" s="79">
        <f>'Sectoral Constraints Fig 2-3 AR'!AR19</f>
        <v>0</v>
      </c>
      <c r="AS20" s="79">
        <f>'Sectoral Constraints Fig 2-3 AR'!AS19</f>
        <v>0</v>
      </c>
      <c r="AT20" s="79">
        <f>'Sectoral Constraints Fig 2-3 AR'!AT19</f>
        <v>0</v>
      </c>
      <c r="AU20" s="79">
        <f>'Sectoral Constraints Fig 2-3 AR'!AU19</f>
        <v>0</v>
      </c>
      <c r="AV20" s="79">
        <f>'Sectoral Constraints Fig 2-3 AR'!AV19</f>
        <v>0</v>
      </c>
      <c r="AW20" s="79">
        <f>'Sectoral Constraints Fig 2-3 AR'!AW19</f>
        <v>0</v>
      </c>
      <c r="AX20" s="79">
        <f>'Sectoral Constraints Fig 2-3 AR'!AX19</f>
        <v>0</v>
      </c>
      <c r="AY20" s="79">
        <f>'Sectoral Constraints Fig 2-3 AR'!AY19</f>
        <v>0</v>
      </c>
      <c r="AZ20" s="79">
        <f>'Sectoral Constraints Fig 2-3 AR'!AZ19</f>
        <v>0</v>
      </c>
      <c r="BA20" s="79">
        <f>'Sectoral Constraints Fig 2-3 AR'!BA19</f>
        <v>0</v>
      </c>
      <c r="BB20" s="79">
        <f>'Sectoral Constraints Fig 2-3 AR'!BB19</f>
        <v>0</v>
      </c>
      <c r="BC20" s="79">
        <f>'Sectoral Constraints Fig 2-3 AR'!BC19</f>
        <v>0</v>
      </c>
      <c r="BD20" s="79">
        <f>'Sectoral Constraints Fig 2-3 AR'!BD19</f>
        <v>0</v>
      </c>
      <c r="BE20" s="79">
        <f>'Sectoral Constraints Fig 2-3 AR'!BE19</f>
        <v>0</v>
      </c>
      <c r="BF20" s="79">
        <f>'Sectoral Constraints Fig 2-3 AR'!BF19</f>
        <v>0</v>
      </c>
      <c r="BG20" s="79">
        <f>'Sectoral Constraints Fig 2-3 AR'!BG19</f>
        <v>0</v>
      </c>
      <c r="BH20" s="79">
        <f>'Sectoral Constraints Fig 2-3 AR'!BH19</f>
        <v>0</v>
      </c>
      <c r="BI20" s="79">
        <f>'Sectoral Constraints Fig 2-3 AR'!BI19</f>
        <v>0</v>
      </c>
      <c r="BJ20" s="79">
        <f>'Sectoral Constraints Fig 2-3 AR'!BJ19</f>
        <v>0</v>
      </c>
      <c r="BK20" s="79">
        <f>'Sectoral Constraints Fig 2-3 AR'!BK19</f>
        <v>0</v>
      </c>
      <c r="BL20" s="79">
        <f>'Sectoral Constraints Fig 2-3 AR'!BL19</f>
        <v>0</v>
      </c>
      <c r="BM20" s="79">
        <f>'Sectoral Constraints Fig 2-3 AR'!BM19</f>
        <v>0</v>
      </c>
      <c r="BN20" s="79">
        <f>'Sectoral Constraints Fig 2-3 AR'!BN19</f>
        <v>0</v>
      </c>
      <c r="BO20" s="79">
        <f>'Sectoral Constraints Fig 2-3 AR'!BO19</f>
        <v>0</v>
      </c>
      <c r="BP20" s="79">
        <f>'Sectoral Constraints Fig 2-3 AR'!BP19</f>
        <v>0</v>
      </c>
      <c r="BQ20" s="79">
        <f>'Sectoral Constraints Fig 2-3 AR'!BQ19</f>
        <v>0</v>
      </c>
      <c r="BR20" s="79">
        <f>'Sectoral Constraints Fig 2-3 AR'!BR19</f>
        <v>0</v>
      </c>
      <c r="BS20" s="79">
        <f>'Sectoral Constraints Fig 2-3 AR'!BS19</f>
        <v>0</v>
      </c>
      <c r="BT20" s="79">
        <f>'Sectoral Constraints Fig 2-3 AR'!BT19</f>
        <v>0</v>
      </c>
      <c r="BU20" s="79">
        <f>'Sectoral Constraints Fig 2-3 AR'!BU19</f>
        <v>0</v>
      </c>
      <c r="BV20" s="79">
        <f>'Sectoral Constraints Fig 2-3 AR'!BV19</f>
        <v>0</v>
      </c>
      <c r="BW20" s="79">
        <f>'Sectoral Constraints Fig 2-3 AR'!BW19</f>
        <v>0</v>
      </c>
      <c r="BX20" s="79">
        <f>'Sectoral Constraints Fig 2-3 AR'!BX19</f>
        <v>0</v>
      </c>
      <c r="BY20" s="79">
        <f>'Sectoral Constraints Fig 2-3 AR'!BY19</f>
        <v>0</v>
      </c>
      <c r="BZ20" s="79">
        <f>'Sectoral Constraints Fig 2-3 AR'!BZ19</f>
        <v>0</v>
      </c>
      <c r="CA20" s="79">
        <f>'Sectoral Constraints Fig 2-3 AR'!CA19</f>
        <v>0</v>
      </c>
      <c r="CB20" s="79">
        <f>'Sectoral Constraints Fig 2-3 AR'!CB19</f>
        <v>0</v>
      </c>
      <c r="CC20" s="79">
        <f>'Sectoral Constraints Fig 2-3 AR'!CC19</f>
        <v>0</v>
      </c>
      <c r="CD20" s="79">
        <f>'Sectoral Constraints Fig 2-3 AR'!CD19</f>
        <v>0</v>
      </c>
      <c r="CE20" s="79">
        <f>'Sectoral Constraints Fig 2-3 AR'!CE19</f>
        <v>0</v>
      </c>
      <c r="CF20" s="79">
        <f>'Sectoral Constraints Fig 2-3 AR'!CF19</f>
        <v>0</v>
      </c>
      <c r="CG20" s="79">
        <f>'Sectoral Constraints Fig 2-3 AR'!CG19</f>
        <v>0</v>
      </c>
      <c r="CH20" s="79">
        <f>'Sectoral Constraints Fig 2-3 AR'!CH19</f>
        <v>0</v>
      </c>
      <c r="CI20" s="79">
        <f>'Sectoral Constraints Fig 2-3 AR'!CI19</f>
        <v>0</v>
      </c>
      <c r="CJ20" s="79">
        <f>'Sectoral Constraints Fig 2-3 AR'!CJ19</f>
        <v>0</v>
      </c>
      <c r="CK20" s="79">
        <f>'Sectoral Constraints Fig 2-3 AR'!CK19</f>
        <v>0</v>
      </c>
      <c r="CL20" s="79">
        <f>'Sectoral Constraints Fig 2-3 AR'!CL19</f>
        <v>0</v>
      </c>
      <c r="CM20" s="79">
        <f>'Sectoral Constraints Fig 2-3 AR'!CM19</f>
        <v>0</v>
      </c>
      <c r="CN20" s="79">
        <f>'Sectoral Constraints Fig 2-3 AR'!CN19</f>
        <v>0</v>
      </c>
      <c r="CO20" s="79">
        <f>'Sectoral Constraints Fig 2-3 AR'!CO19</f>
        <v>0</v>
      </c>
      <c r="CP20" s="79">
        <f>'Sectoral Constraints Fig 2-3 AR'!CP19</f>
        <v>0</v>
      </c>
      <c r="CQ20" s="79">
        <f>'Sectoral Constraints Fig 2-3 AR'!CQ19</f>
        <v>0</v>
      </c>
      <c r="CR20" s="79">
        <f>'Sectoral Constraints Fig 2-3 AR'!CR19</f>
        <v>0</v>
      </c>
      <c r="CS20" s="79">
        <f>'Sectoral Constraints Fig 2-3 AR'!CS19</f>
        <v>0</v>
      </c>
      <c r="CT20" s="79">
        <f>'Sectoral Constraints Fig 2-3 AR'!CT19</f>
        <v>0</v>
      </c>
      <c r="CU20" s="79">
        <f>'Sectoral Constraints Fig 2-3 AR'!CU19</f>
        <v>0</v>
      </c>
      <c r="CV20" s="79">
        <f>'Sectoral Constraints Fig 2-3 AR'!CV19</f>
        <v>0</v>
      </c>
      <c r="CW20" s="79">
        <f>'Sectoral Constraints Fig 2-3 AR'!CW19</f>
        <v>0</v>
      </c>
      <c r="CX20" s="79">
        <f>'Sectoral Constraints Fig 2-3 AR'!CX19</f>
        <v>0</v>
      </c>
      <c r="CY20" s="79">
        <f>'Sectoral Constraints Fig 2-3 AR'!CY19</f>
        <v>0</v>
      </c>
      <c r="CZ20" s="79">
        <f>'Sectoral Constraints Fig 2-3 AR'!CZ19</f>
        <v>0</v>
      </c>
      <c r="DA20" s="79">
        <f>'Sectoral Constraints Fig 2-3 AR'!DA19</f>
        <v>0</v>
      </c>
      <c r="DB20" s="79">
        <f>'Sectoral Constraints Fig 2-3 AR'!DB19</f>
        <v>0</v>
      </c>
      <c r="DC20" s="79">
        <f>'Sectoral Constraints Fig 2-3 AR'!DC19</f>
        <v>0</v>
      </c>
      <c r="DD20" s="79">
        <f>'Sectoral Constraints Fig 2-3 AR'!DD19</f>
        <v>0</v>
      </c>
      <c r="DE20" s="79">
        <f>'Sectoral Constraints Fig 2-3 AR'!DE19</f>
        <v>0</v>
      </c>
      <c r="DF20" s="79">
        <f>'Sectoral Constraints Fig 2-3 AR'!DF19</f>
        <v>7</v>
      </c>
      <c r="DG20" s="79">
        <f>'Sectoral Constraints Fig 2-3 AR'!DG19</f>
        <v>8</v>
      </c>
      <c r="DH20" s="79">
        <f>'Sectoral Constraints Fig 2-3 AR'!DH19</f>
        <v>0</v>
      </c>
      <c r="DI20" s="79">
        <f>'Sectoral Constraints Fig 2-3 AR'!DI19</f>
        <v>40</v>
      </c>
      <c r="DJ20" s="79">
        <f>'Sectoral Constraints Fig 2-3 AR'!DJ19</f>
        <v>27</v>
      </c>
      <c r="DK20" s="79" t="str">
        <f>'Sectoral Constraints Fig 2-3 AR'!DK19</f>
        <v>ــ</v>
      </c>
      <c r="DL20" s="79">
        <f>'Sectoral Constraints Fig 2-3 AR'!DL19</f>
        <v>6.0242576775817298</v>
      </c>
      <c r="DM20" s="79">
        <f>'Sectoral Constraints Fig 2-3 AR'!DM19</f>
        <v>9.0909090909090917</v>
      </c>
      <c r="DN20" s="79">
        <f>'Sectoral Constraints Fig 2-3 AR'!DN19</f>
        <v>0</v>
      </c>
      <c r="DO20" s="79">
        <f>'Sectoral Constraints Fig 2-3 AR'!DO19</f>
        <v>0</v>
      </c>
      <c r="DP20" s="79">
        <f>'Sectoral Constraints Fig 2-3 AR'!DP19</f>
        <v>40.909090909090907</v>
      </c>
      <c r="DQ20" s="79" t="str">
        <f>'Sectoral Constraints Fig 2-3 AR'!DQ19</f>
        <v>-</v>
      </c>
      <c r="DR20" s="79">
        <f>'Sectoral Constraints Fig 2-3 AR'!DR19</f>
        <v>4.4893378226711551</v>
      </c>
      <c r="DS20" s="79">
        <f>'Sectoral Constraints Fig 2-3 AR'!DS19</f>
        <v>0</v>
      </c>
      <c r="DT20" s="79">
        <f>'Sectoral Constraints Fig 2-3 AR'!DT19</f>
        <v>0</v>
      </c>
      <c r="DU20" s="79">
        <f>'Sectoral Constraints Fig 2-3 AR'!DU19</f>
        <v>4.3091168091168077</v>
      </c>
      <c r="DV20" s="79">
        <f>'Sectoral Constraints Fig 2-3 AR'!DV19</f>
        <v>16</v>
      </c>
      <c r="DW20" s="79" t="str">
        <f>'Sectoral Constraints Fig 2-3 AR'!DW19</f>
        <v>-</v>
      </c>
      <c r="DX20" s="79">
        <v>0</v>
      </c>
      <c r="DY20" s="79">
        <v>7.8431372549019605</v>
      </c>
      <c r="DZ20" s="79">
        <v>2.5</v>
      </c>
      <c r="EA20" s="79">
        <v>76.190476190476176</v>
      </c>
      <c r="EB20" s="100">
        <v>10.714285714285714</v>
      </c>
      <c r="EC20" s="79" t="s">
        <v>172</v>
      </c>
      <c r="ED20" s="100">
        <v>2.6200873362445409</v>
      </c>
      <c r="EE20" s="100">
        <v>0</v>
      </c>
      <c r="EF20" s="100">
        <v>0</v>
      </c>
      <c r="EG20" s="100">
        <v>0</v>
      </c>
      <c r="EH20" s="100">
        <v>18.75</v>
      </c>
      <c r="EI20" s="100">
        <v>0</v>
      </c>
      <c r="EJ20" s="100">
        <v>10.572687224669604</v>
      </c>
      <c r="EK20" s="100">
        <v>3.7037037037037042</v>
      </c>
      <c r="EL20" s="100">
        <v>8.8235294117647065</v>
      </c>
      <c r="EM20" s="100">
        <v>0</v>
      </c>
      <c r="EN20" s="100">
        <v>12.5</v>
      </c>
      <c r="EO20" s="100">
        <v>0</v>
      </c>
      <c r="EP20" s="100">
        <v>12</v>
      </c>
      <c r="EQ20" s="100">
        <v>6</v>
      </c>
      <c r="ER20" s="100">
        <v>0</v>
      </c>
      <c r="ES20" s="100">
        <v>0</v>
      </c>
      <c r="ET20" s="100">
        <v>28</v>
      </c>
      <c r="EU20" s="100">
        <v>0</v>
      </c>
      <c r="EV20" s="100">
        <v>8.8888888888888893</v>
      </c>
      <c r="EW20" s="100">
        <v>0</v>
      </c>
      <c r="EX20" s="100">
        <v>0</v>
      </c>
      <c r="EY20" s="100">
        <v>0</v>
      </c>
      <c r="EZ20" s="100">
        <v>25</v>
      </c>
      <c r="FA20" s="100">
        <v>0</v>
      </c>
    </row>
    <row r="21" spans="1:157" s="80" customFormat="1" ht="16.5" x14ac:dyDescent="0.3">
      <c r="A21" s="78" t="s">
        <v>69</v>
      </c>
      <c r="B21" s="79">
        <f>'Sectoral Constraints Fig 2-3 AR'!B20</f>
        <v>0</v>
      </c>
      <c r="C21" s="79">
        <f>'Sectoral Constraints Fig 2-3 AR'!C20</f>
        <v>0</v>
      </c>
      <c r="D21" s="79">
        <f>'Sectoral Constraints Fig 2-3 AR'!D20</f>
        <v>0</v>
      </c>
      <c r="E21" s="79">
        <f>'Sectoral Constraints Fig 2-3 AR'!E20</f>
        <v>0</v>
      </c>
      <c r="F21" s="79">
        <f>'Sectoral Constraints Fig 2-3 AR'!F20</f>
        <v>0</v>
      </c>
      <c r="G21" s="79">
        <f>'Sectoral Constraints Fig 2-3 AR'!G20</f>
        <v>0</v>
      </c>
      <c r="H21" s="79">
        <f>'Sectoral Constraints Fig 2-3 AR'!H20</f>
        <v>0</v>
      </c>
      <c r="I21" s="79">
        <f>'Sectoral Constraints Fig 2-3 AR'!I20</f>
        <v>0</v>
      </c>
      <c r="J21" s="79">
        <f>'Sectoral Constraints Fig 2-3 AR'!J20</f>
        <v>0</v>
      </c>
      <c r="K21" s="79">
        <f>'Sectoral Constraints Fig 2-3 AR'!K20</f>
        <v>0</v>
      </c>
      <c r="L21" s="79">
        <f>'Sectoral Constraints Fig 2-3 AR'!L20</f>
        <v>0</v>
      </c>
      <c r="M21" s="79">
        <f>'Sectoral Constraints Fig 2-3 AR'!M20</f>
        <v>0</v>
      </c>
      <c r="N21" s="79">
        <f>'Sectoral Constraints Fig 2-3 AR'!N20</f>
        <v>0</v>
      </c>
      <c r="O21" s="79">
        <f>'Sectoral Constraints Fig 2-3 AR'!O20</f>
        <v>0</v>
      </c>
      <c r="P21" s="79">
        <f>'Sectoral Constraints Fig 2-3 AR'!P20</f>
        <v>0</v>
      </c>
      <c r="Q21" s="79">
        <f>'Sectoral Constraints Fig 2-3 AR'!Q20</f>
        <v>0</v>
      </c>
      <c r="R21" s="79">
        <f>'Sectoral Constraints Fig 2-3 AR'!R20</f>
        <v>0</v>
      </c>
      <c r="S21" s="79">
        <f>'Sectoral Constraints Fig 2-3 AR'!S20</f>
        <v>0</v>
      </c>
      <c r="T21" s="79">
        <f>'Sectoral Constraints Fig 2-3 AR'!T20</f>
        <v>0</v>
      </c>
      <c r="U21" s="79">
        <f>'Sectoral Constraints Fig 2-3 AR'!U20</f>
        <v>0</v>
      </c>
      <c r="V21" s="79">
        <f>'Sectoral Constraints Fig 2-3 AR'!V20</f>
        <v>0</v>
      </c>
      <c r="W21" s="79">
        <f>'Sectoral Constraints Fig 2-3 AR'!W20</f>
        <v>0</v>
      </c>
      <c r="X21" s="79">
        <f>'Sectoral Constraints Fig 2-3 AR'!X20</f>
        <v>0</v>
      </c>
      <c r="Y21" s="79">
        <f>'Sectoral Constraints Fig 2-3 AR'!Y20</f>
        <v>0</v>
      </c>
      <c r="Z21" s="79">
        <f>'Sectoral Constraints Fig 2-3 AR'!Z20</f>
        <v>0</v>
      </c>
      <c r="AA21" s="79">
        <f>'Sectoral Constraints Fig 2-3 AR'!AA20</f>
        <v>0</v>
      </c>
      <c r="AB21" s="79">
        <f>'Sectoral Constraints Fig 2-3 AR'!AB20</f>
        <v>0</v>
      </c>
      <c r="AC21" s="79">
        <f>'Sectoral Constraints Fig 2-3 AR'!AC20</f>
        <v>0</v>
      </c>
      <c r="AD21" s="79">
        <f>'Sectoral Constraints Fig 2-3 AR'!AD20</f>
        <v>0</v>
      </c>
      <c r="AE21" s="79">
        <f>'Sectoral Constraints Fig 2-3 AR'!AE20</f>
        <v>0</v>
      </c>
      <c r="AF21" s="79">
        <f>'Sectoral Constraints Fig 2-3 AR'!AF20</f>
        <v>0</v>
      </c>
      <c r="AG21" s="79">
        <f>'Sectoral Constraints Fig 2-3 AR'!AG20</f>
        <v>0</v>
      </c>
      <c r="AH21" s="79">
        <f>'Sectoral Constraints Fig 2-3 AR'!AH20</f>
        <v>0</v>
      </c>
      <c r="AI21" s="79">
        <f>'Sectoral Constraints Fig 2-3 AR'!AI20</f>
        <v>0</v>
      </c>
      <c r="AJ21" s="79">
        <f>'Sectoral Constraints Fig 2-3 AR'!AJ20</f>
        <v>0</v>
      </c>
      <c r="AK21" s="79">
        <f>'Sectoral Constraints Fig 2-3 AR'!AK20</f>
        <v>0</v>
      </c>
      <c r="AL21" s="79">
        <f>'Sectoral Constraints Fig 2-3 AR'!AL20</f>
        <v>0</v>
      </c>
      <c r="AM21" s="79">
        <f>'Sectoral Constraints Fig 2-3 AR'!AM20</f>
        <v>0</v>
      </c>
      <c r="AN21" s="79">
        <f>'Sectoral Constraints Fig 2-3 AR'!AN20</f>
        <v>0</v>
      </c>
      <c r="AO21" s="79">
        <f>'Sectoral Constraints Fig 2-3 AR'!AO20</f>
        <v>0</v>
      </c>
      <c r="AP21" s="79">
        <f>'Sectoral Constraints Fig 2-3 AR'!AP20</f>
        <v>0</v>
      </c>
      <c r="AQ21" s="79">
        <f>'Sectoral Constraints Fig 2-3 AR'!AQ20</f>
        <v>0</v>
      </c>
      <c r="AR21" s="79">
        <f>'Sectoral Constraints Fig 2-3 AR'!AR20</f>
        <v>0</v>
      </c>
      <c r="AS21" s="79">
        <f>'Sectoral Constraints Fig 2-3 AR'!AS20</f>
        <v>0</v>
      </c>
      <c r="AT21" s="79">
        <f>'Sectoral Constraints Fig 2-3 AR'!AT20</f>
        <v>0</v>
      </c>
      <c r="AU21" s="79">
        <f>'Sectoral Constraints Fig 2-3 AR'!AU20</f>
        <v>0</v>
      </c>
      <c r="AV21" s="79">
        <f>'Sectoral Constraints Fig 2-3 AR'!AV20</f>
        <v>0</v>
      </c>
      <c r="AW21" s="79">
        <f>'Sectoral Constraints Fig 2-3 AR'!AW20</f>
        <v>0</v>
      </c>
      <c r="AX21" s="79">
        <f>'Sectoral Constraints Fig 2-3 AR'!AX20</f>
        <v>0</v>
      </c>
      <c r="AY21" s="79">
        <f>'Sectoral Constraints Fig 2-3 AR'!AY20</f>
        <v>0</v>
      </c>
      <c r="AZ21" s="79">
        <f>'Sectoral Constraints Fig 2-3 AR'!AZ20</f>
        <v>0</v>
      </c>
      <c r="BA21" s="79">
        <f>'Sectoral Constraints Fig 2-3 AR'!BA20</f>
        <v>0</v>
      </c>
      <c r="BB21" s="79">
        <f>'Sectoral Constraints Fig 2-3 AR'!BB20</f>
        <v>0</v>
      </c>
      <c r="BC21" s="79">
        <f>'Sectoral Constraints Fig 2-3 AR'!BC20</f>
        <v>0</v>
      </c>
      <c r="BD21" s="79">
        <f>'Sectoral Constraints Fig 2-3 AR'!BD20</f>
        <v>0</v>
      </c>
      <c r="BE21" s="79">
        <f>'Sectoral Constraints Fig 2-3 AR'!BE20</f>
        <v>0</v>
      </c>
      <c r="BF21" s="79">
        <f>'Sectoral Constraints Fig 2-3 AR'!BF20</f>
        <v>0</v>
      </c>
      <c r="BG21" s="79">
        <f>'Sectoral Constraints Fig 2-3 AR'!BG20</f>
        <v>0</v>
      </c>
      <c r="BH21" s="79">
        <f>'Sectoral Constraints Fig 2-3 AR'!BH20</f>
        <v>0</v>
      </c>
      <c r="BI21" s="79">
        <f>'Sectoral Constraints Fig 2-3 AR'!BI20</f>
        <v>0</v>
      </c>
      <c r="BJ21" s="79">
        <f>'Sectoral Constraints Fig 2-3 AR'!BJ20</f>
        <v>0</v>
      </c>
      <c r="BK21" s="79">
        <f>'Sectoral Constraints Fig 2-3 AR'!BK20</f>
        <v>0</v>
      </c>
      <c r="BL21" s="79">
        <f>'Sectoral Constraints Fig 2-3 AR'!BL20</f>
        <v>0</v>
      </c>
      <c r="BM21" s="79">
        <f>'Sectoral Constraints Fig 2-3 AR'!BM20</f>
        <v>0</v>
      </c>
      <c r="BN21" s="79">
        <f>'Sectoral Constraints Fig 2-3 AR'!BN20</f>
        <v>0</v>
      </c>
      <c r="BO21" s="79">
        <f>'Sectoral Constraints Fig 2-3 AR'!BO20</f>
        <v>0</v>
      </c>
      <c r="BP21" s="79">
        <f>'Sectoral Constraints Fig 2-3 AR'!BP20</f>
        <v>0</v>
      </c>
      <c r="BQ21" s="79">
        <f>'Sectoral Constraints Fig 2-3 AR'!BQ20</f>
        <v>0</v>
      </c>
      <c r="BR21" s="79">
        <f>'Sectoral Constraints Fig 2-3 AR'!BR20</f>
        <v>0</v>
      </c>
      <c r="BS21" s="79">
        <f>'Sectoral Constraints Fig 2-3 AR'!BS20</f>
        <v>0</v>
      </c>
      <c r="BT21" s="79">
        <f>'Sectoral Constraints Fig 2-3 AR'!BT20</f>
        <v>0</v>
      </c>
      <c r="BU21" s="79">
        <f>'Sectoral Constraints Fig 2-3 AR'!BU20</f>
        <v>0</v>
      </c>
      <c r="BV21" s="79">
        <f>'Sectoral Constraints Fig 2-3 AR'!BV20</f>
        <v>0</v>
      </c>
      <c r="BW21" s="79">
        <f>'Sectoral Constraints Fig 2-3 AR'!BW20</f>
        <v>0</v>
      </c>
      <c r="BX21" s="79">
        <f>'Sectoral Constraints Fig 2-3 AR'!BX20</f>
        <v>0</v>
      </c>
      <c r="BY21" s="79">
        <f>'Sectoral Constraints Fig 2-3 AR'!BY20</f>
        <v>0</v>
      </c>
      <c r="BZ21" s="79">
        <f>'Sectoral Constraints Fig 2-3 AR'!BZ20</f>
        <v>0</v>
      </c>
      <c r="CA21" s="79">
        <f>'Sectoral Constraints Fig 2-3 AR'!CA20</f>
        <v>0</v>
      </c>
      <c r="CB21" s="79">
        <f>'Sectoral Constraints Fig 2-3 AR'!CB20</f>
        <v>0</v>
      </c>
      <c r="CC21" s="79">
        <f>'Sectoral Constraints Fig 2-3 AR'!CC20</f>
        <v>0</v>
      </c>
      <c r="CD21" s="79">
        <f>'Sectoral Constraints Fig 2-3 AR'!CD20</f>
        <v>0</v>
      </c>
      <c r="CE21" s="79">
        <f>'Sectoral Constraints Fig 2-3 AR'!CE20</f>
        <v>0</v>
      </c>
      <c r="CF21" s="79">
        <f>'Sectoral Constraints Fig 2-3 AR'!CF20</f>
        <v>0</v>
      </c>
      <c r="CG21" s="79">
        <f>'Sectoral Constraints Fig 2-3 AR'!CG20</f>
        <v>0</v>
      </c>
      <c r="CH21" s="79">
        <f>'Sectoral Constraints Fig 2-3 AR'!CH20</f>
        <v>0</v>
      </c>
      <c r="CI21" s="79">
        <f>'Sectoral Constraints Fig 2-3 AR'!CI20</f>
        <v>0</v>
      </c>
      <c r="CJ21" s="79">
        <f>'Sectoral Constraints Fig 2-3 AR'!CJ20</f>
        <v>0</v>
      </c>
      <c r="CK21" s="79">
        <f>'Sectoral Constraints Fig 2-3 AR'!CK20</f>
        <v>0</v>
      </c>
      <c r="CL21" s="79">
        <f>'Sectoral Constraints Fig 2-3 AR'!CL20</f>
        <v>0</v>
      </c>
      <c r="CM21" s="79">
        <f>'Sectoral Constraints Fig 2-3 AR'!CM20</f>
        <v>0</v>
      </c>
      <c r="CN21" s="79">
        <f>'Sectoral Constraints Fig 2-3 AR'!CN20</f>
        <v>0</v>
      </c>
      <c r="CO21" s="79">
        <f>'Sectoral Constraints Fig 2-3 AR'!CO20</f>
        <v>0</v>
      </c>
      <c r="CP21" s="79">
        <f>'Sectoral Constraints Fig 2-3 AR'!CP20</f>
        <v>0</v>
      </c>
      <c r="CQ21" s="79">
        <f>'Sectoral Constraints Fig 2-3 AR'!CQ20</f>
        <v>0</v>
      </c>
      <c r="CR21" s="79">
        <f>'Sectoral Constraints Fig 2-3 AR'!CR20</f>
        <v>0</v>
      </c>
      <c r="CS21" s="79">
        <f>'Sectoral Constraints Fig 2-3 AR'!CS20</f>
        <v>0</v>
      </c>
      <c r="CT21" s="79">
        <f>'Sectoral Constraints Fig 2-3 AR'!CT20</f>
        <v>0</v>
      </c>
      <c r="CU21" s="79">
        <f>'Sectoral Constraints Fig 2-3 AR'!CU20</f>
        <v>0</v>
      </c>
      <c r="CV21" s="79">
        <f>'Sectoral Constraints Fig 2-3 AR'!CV20</f>
        <v>0</v>
      </c>
      <c r="CW21" s="79">
        <f>'Sectoral Constraints Fig 2-3 AR'!CW20</f>
        <v>0</v>
      </c>
      <c r="CX21" s="79">
        <f>'Sectoral Constraints Fig 2-3 AR'!CX20</f>
        <v>0</v>
      </c>
      <c r="CY21" s="79">
        <f>'Sectoral Constraints Fig 2-3 AR'!CY20</f>
        <v>0</v>
      </c>
      <c r="CZ21" s="79">
        <f>'Sectoral Constraints Fig 2-3 AR'!CZ20</f>
        <v>0</v>
      </c>
      <c r="DA21" s="79">
        <f>'Sectoral Constraints Fig 2-3 AR'!DA20</f>
        <v>0</v>
      </c>
      <c r="DB21" s="79">
        <f>'Sectoral Constraints Fig 2-3 AR'!DB20</f>
        <v>0</v>
      </c>
      <c r="DC21" s="79">
        <f>'Sectoral Constraints Fig 2-3 AR'!DC20</f>
        <v>0</v>
      </c>
      <c r="DD21" s="79">
        <f>'Sectoral Constraints Fig 2-3 AR'!DD20</f>
        <v>0</v>
      </c>
      <c r="DE21" s="79">
        <f>'Sectoral Constraints Fig 2-3 AR'!DE20</f>
        <v>0</v>
      </c>
      <c r="DF21" s="79">
        <f>'Sectoral Constraints Fig 2-3 AR'!DF20</f>
        <v>7</v>
      </c>
      <c r="DG21" s="79">
        <f>'Sectoral Constraints Fig 2-3 AR'!DG20</f>
        <v>6</v>
      </c>
      <c r="DH21" s="79">
        <f>'Sectoral Constraints Fig 2-3 AR'!DH20</f>
        <v>0</v>
      </c>
      <c r="DI21" s="79">
        <f>'Sectoral Constraints Fig 2-3 AR'!DI20</f>
        <v>40</v>
      </c>
      <c r="DJ21" s="79">
        <f>'Sectoral Constraints Fig 2-3 AR'!DJ20</f>
        <v>9</v>
      </c>
      <c r="DK21" s="79" t="str">
        <f>'Sectoral Constraints Fig 2-3 AR'!DK20</f>
        <v>ــ</v>
      </c>
      <c r="DL21" s="79">
        <f>'Sectoral Constraints Fig 2-3 AR'!DL20</f>
        <v>6.0242576775817298</v>
      </c>
      <c r="DM21" s="79">
        <f>'Sectoral Constraints Fig 2-3 AR'!DM20</f>
        <v>9.0909090909090917</v>
      </c>
      <c r="DN21" s="79">
        <f>'Sectoral Constraints Fig 2-3 AR'!DN20</f>
        <v>0</v>
      </c>
      <c r="DO21" s="79">
        <f>'Sectoral Constraints Fig 2-3 AR'!DO20</f>
        <v>0</v>
      </c>
      <c r="DP21" s="79">
        <f>'Sectoral Constraints Fig 2-3 AR'!DP20</f>
        <v>40.909090909090907</v>
      </c>
      <c r="DQ21" s="79" t="str">
        <f>'Sectoral Constraints Fig 2-3 AR'!DQ20</f>
        <v>-</v>
      </c>
      <c r="DR21" s="79">
        <f>'Sectoral Constraints Fig 2-3 AR'!DR20</f>
        <v>4.4893378226711551</v>
      </c>
      <c r="DS21" s="79">
        <f>'Sectoral Constraints Fig 2-3 AR'!DS20</f>
        <v>0</v>
      </c>
      <c r="DT21" s="79">
        <f>'Sectoral Constraints Fig 2-3 AR'!DT20</f>
        <v>0</v>
      </c>
      <c r="DU21" s="79">
        <f>'Sectoral Constraints Fig 2-3 AR'!DU20</f>
        <v>8.6182336182336154</v>
      </c>
      <c r="DV21" s="79">
        <f>'Sectoral Constraints Fig 2-3 AR'!DV20</f>
        <v>16</v>
      </c>
      <c r="DW21" s="79" t="str">
        <f>'Sectoral Constraints Fig 2-3 AR'!DW20</f>
        <v>-</v>
      </c>
      <c r="DX21" s="79">
        <v>0</v>
      </c>
      <c r="DY21" s="79">
        <v>9.8039215686274481</v>
      </c>
      <c r="DZ21" s="79">
        <v>0</v>
      </c>
      <c r="EA21" s="79">
        <v>76.190476190476176</v>
      </c>
      <c r="EB21" s="100">
        <v>10.714285714285714</v>
      </c>
      <c r="EC21" s="79" t="s">
        <v>172</v>
      </c>
      <c r="ED21" s="100">
        <v>1.7467248908296942</v>
      </c>
      <c r="EE21" s="100">
        <v>0</v>
      </c>
      <c r="EF21" s="100">
        <v>0</v>
      </c>
      <c r="EG21" s="100">
        <v>0</v>
      </c>
      <c r="EH21" s="100">
        <v>12.5</v>
      </c>
      <c r="EI21" s="100">
        <v>0</v>
      </c>
      <c r="EJ21" s="100">
        <v>8.8105726872246688</v>
      </c>
      <c r="EK21" s="100">
        <v>3.7037037037037042</v>
      </c>
      <c r="EL21" s="100">
        <v>8.8235294117647065</v>
      </c>
      <c r="EM21" s="100">
        <v>0</v>
      </c>
      <c r="EN21" s="100">
        <v>15.625</v>
      </c>
      <c r="EO21" s="100">
        <v>0</v>
      </c>
      <c r="EP21" s="100">
        <v>10</v>
      </c>
      <c r="EQ21" s="100">
        <v>4</v>
      </c>
      <c r="ER21" s="100">
        <v>0</v>
      </c>
      <c r="ES21" s="100">
        <v>0</v>
      </c>
      <c r="ET21" s="100">
        <v>22</v>
      </c>
      <c r="EU21" s="100">
        <v>0</v>
      </c>
      <c r="EV21" s="100">
        <v>8</v>
      </c>
      <c r="EW21" s="100">
        <v>0</v>
      </c>
      <c r="EX21" s="100">
        <v>0</v>
      </c>
      <c r="EY21" s="100">
        <v>0</v>
      </c>
      <c r="EZ21" s="100">
        <v>28.571428571428569</v>
      </c>
      <c r="FA21" s="100">
        <v>0</v>
      </c>
    </row>
    <row r="22" spans="1:157" s="80" customFormat="1" ht="16.5" x14ac:dyDescent="0.3">
      <c r="A22" s="78" t="s">
        <v>68</v>
      </c>
      <c r="B22" s="79">
        <f>'Sectoral Constraints Fig 2-3 AR'!B21</f>
        <v>0</v>
      </c>
      <c r="C22" s="79">
        <f>'Sectoral Constraints Fig 2-3 AR'!C21</f>
        <v>0</v>
      </c>
      <c r="D22" s="79">
        <f>'Sectoral Constraints Fig 2-3 AR'!D21</f>
        <v>0</v>
      </c>
      <c r="E22" s="79">
        <f>'Sectoral Constraints Fig 2-3 AR'!E21</f>
        <v>0</v>
      </c>
      <c r="F22" s="79">
        <f>'Sectoral Constraints Fig 2-3 AR'!F21</f>
        <v>0</v>
      </c>
      <c r="G22" s="79">
        <f>'Sectoral Constraints Fig 2-3 AR'!G21</f>
        <v>0</v>
      </c>
      <c r="H22" s="79">
        <f>'Sectoral Constraints Fig 2-3 AR'!H21</f>
        <v>0</v>
      </c>
      <c r="I22" s="79">
        <f>'Sectoral Constraints Fig 2-3 AR'!I21</f>
        <v>0</v>
      </c>
      <c r="J22" s="79">
        <f>'Sectoral Constraints Fig 2-3 AR'!J21</f>
        <v>0</v>
      </c>
      <c r="K22" s="79">
        <f>'Sectoral Constraints Fig 2-3 AR'!K21</f>
        <v>0</v>
      </c>
      <c r="L22" s="79">
        <f>'Sectoral Constraints Fig 2-3 AR'!L21</f>
        <v>0</v>
      </c>
      <c r="M22" s="79">
        <f>'Sectoral Constraints Fig 2-3 AR'!M21</f>
        <v>0</v>
      </c>
      <c r="N22" s="79">
        <f>'Sectoral Constraints Fig 2-3 AR'!N21</f>
        <v>0</v>
      </c>
      <c r="O22" s="79">
        <f>'Sectoral Constraints Fig 2-3 AR'!O21</f>
        <v>0</v>
      </c>
      <c r="P22" s="79">
        <f>'Sectoral Constraints Fig 2-3 AR'!P21</f>
        <v>0</v>
      </c>
      <c r="Q22" s="79">
        <f>'Sectoral Constraints Fig 2-3 AR'!Q21</f>
        <v>0</v>
      </c>
      <c r="R22" s="79">
        <f>'Sectoral Constraints Fig 2-3 AR'!R21</f>
        <v>0</v>
      </c>
      <c r="S22" s="79">
        <f>'Sectoral Constraints Fig 2-3 AR'!S21</f>
        <v>0</v>
      </c>
      <c r="T22" s="79">
        <f>'Sectoral Constraints Fig 2-3 AR'!T21</f>
        <v>0</v>
      </c>
      <c r="U22" s="79">
        <f>'Sectoral Constraints Fig 2-3 AR'!U21</f>
        <v>0</v>
      </c>
      <c r="V22" s="79">
        <f>'Sectoral Constraints Fig 2-3 AR'!V21</f>
        <v>0</v>
      </c>
      <c r="W22" s="79">
        <f>'Sectoral Constraints Fig 2-3 AR'!W21</f>
        <v>0</v>
      </c>
      <c r="X22" s="79">
        <f>'Sectoral Constraints Fig 2-3 AR'!X21</f>
        <v>0</v>
      </c>
      <c r="Y22" s="79">
        <f>'Sectoral Constraints Fig 2-3 AR'!Y21</f>
        <v>0</v>
      </c>
      <c r="Z22" s="79">
        <f>'Sectoral Constraints Fig 2-3 AR'!Z21</f>
        <v>0</v>
      </c>
      <c r="AA22" s="79">
        <f>'Sectoral Constraints Fig 2-3 AR'!AA21</f>
        <v>0</v>
      </c>
      <c r="AB22" s="79">
        <f>'Sectoral Constraints Fig 2-3 AR'!AB21</f>
        <v>0</v>
      </c>
      <c r="AC22" s="79">
        <f>'Sectoral Constraints Fig 2-3 AR'!AC21</f>
        <v>0</v>
      </c>
      <c r="AD22" s="79">
        <f>'Sectoral Constraints Fig 2-3 AR'!AD21</f>
        <v>0</v>
      </c>
      <c r="AE22" s="79">
        <f>'Sectoral Constraints Fig 2-3 AR'!AE21</f>
        <v>0</v>
      </c>
      <c r="AF22" s="79">
        <f>'Sectoral Constraints Fig 2-3 AR'!AF21</f>
        <v>0</v>
      </c>
      <c r="AG22" s="79">
        <f>'Sectoral Constraints Fig 2-3 AR'!AG21</f>
        <v>0</v>
      </c>
      <c r="AH22" s="79">
        <f>'Sectoral Constraints Fig 2-3 AR'!AH21</f>
        <v>0</v>
      </c>
      <c r="AI22" s="79">
        <f>'Sectoral Constraints Fig 2-3 AR'!AI21</f>
        <v>0</v>
      </c>
      <c r="AJ22" s="79">
        <f>'Sectoral Constraints Fig 2-3 AR'!AJ21</f>
        <v>0</v>
      </c>
      <c r="AK22" s="79">
        <f>'Sectoral Constraints Fig 2-3 AR'!AK21</f>
        <v>0</v>
      </c>
      <c r="AL22" s="79">
        <f>'Sectoral Constraints Fig 2-3 AR'!AL21</f>
        <v>0</v>
      </c>
      <c r="AM22" s="79">
        <f>'Sectoral Constraints Fig 2-3 AR'!AM21</f>
        <v>0</v>
      </c>
      <c r="AN22" s="79">
        <f>'Sectoral Constraints Fig 2-3 AR'!AN21</f>
        <v>0</v>
      </c>
      <c r="AO22" s="79">
        <f>'Sectoral Constraints Fig 2-3 AR'!AO21</f>
        <v>0</v>
      </c>
      <c r="AP22" s="79">
        <f>'Sectoral Constraints Fig 2-3 AR'!AP21</f>
        <v>0</v>
      </c>
      <c r="AQ22" s="79">
        <f>'Sectoral Constraints Fig 2-3 AR'!AQ21</f>
        <v>0</v>
      </c>
      <c r="AR22" s="79">
        <f>'Sectoral Constraints Fig 2-3 AR'!AR21</f>
        <v>0</v>
      </c>
      <c r="AS22" s="79">
        <f>'Sectoral Constraints Fig 2-3 AR'!AS21</f>
        <v>0</v>
      </c>
      <c r="AT22" s="79">
        <f>'Sectoral Constraints Fig 2-3 AR'!AT21</f>
        <v>0</v>
      </c>
      <c r="AU22" s="79">
        <f>'Sectoral Constraints Fig 2-3 AR'!AU21</f>
        <v>0</v>
      </c>
      <c r="AV22" s="79">
        <f>'Sectoral Constraints Fig 2-3 AR'!AV21</f>
        <v>0</v>
      </c>
      <c r="AW22" s="79">
        <f>'Sectoral Constraints Fig 2-3 AR'!AW21</f>
        <v>0</v>
      </c>
      <c r="AX22" s="79">
        <f>'Sectoral Constraints Fig 2-3 AR'!AX21</f>
        <v>0</v>
      </c>
      <c r="AY22" s="79">
        <f>'Sectoral Constraints Fig 2-3 AR'!AY21</f>
        <v>0</v>
      </c>
      <c r="AZ22" s="79">
        <f>'Sectoral Constraints Fig 2-3 AR'!AZ21</f>
        <v>0</v>
      </c>
      <c r="BA22" s="79">
        <f>'Sectoral Constraints Fig 2-3 AR'!BA21</f>
        <v>0</v>
      </c>
      <c r="BB22" s="79">
        <f>'Sectoral Constraints Fig 2-3 AR'!BB21</f>
        <v>0</v>
      </c>
      <c r="BC22" s="79">
        <f>'Sectoral Constraints Fig 2-3 AR'!BC21</f>
        <v>0</v>
      </c>
      <c r="BD22" s="79">
        <f>'Sectoral Constraints Fig 2-3 AR'!BD21</f>
        <v>0</v>
      </c>
      <c r="BE22" s="79">
        <f>'Sectoral Constraints Fig 2-3 AR'!BE21</f>
        <v>0</v>
      </c>
      <c r="BF22" s="79">
        <f>'Sectoral Constraints Fig 2-3 AR'!BF21</f>
        <v>0</v>
      </c>
      <c r="BG22" s="79">
        <f>'Sectoral Constraints Fig 2-3 AR'!BG21</f>
        <v>0</v>
      </c>
      <c r="BH22" s="79">
        <f>'Sectoral Constraints Fig 2-3 AR'!BH21</f>
        <v>0</v>
      </c>
      <c r="BI22" s="79">
        <f>'Sectoral Constraints Fig 2-3 AR'!BI21</f>
        <v>0</v>
      </c>
      <c r="BJ22" s="79">
        <f>'Sectoral Constraints Fig 2-3 AR'!BJ21</f>
        <v>0</v>
      </c>
      <c r="BK22" s="79">
        <f>'Sectoral Constraints Fig 2-3 AR'!BK21</f>
        <v>0</v>
      </c>
      <c r="BL22" s="79">
        <f>'Sectoral Constraints Fig 2-3 AR'!BL21</f>
        <v>0</v>
      </c>
      <c r="BM22" s="79">
        <f>'Sectoral Constraints Fig 2-3 AR'!BM21</f>
        <v>0</v>
      </c>
      <c r="BN22" s="79">
        <f>'Sectoral Constraints Fig 2-3 AR'!BN21</f>
        <v>0</v>
      </c>
      <c r="BO22" s="79">
        <f>'Sectoral Constraints Fig 2-3 AR'!BO21</f>
        <v>0</v>
      </c>
      <c r="BP22" s="79">
        <f>'Sectoral Constraints Fig 2-3 AR'!BP21</f>
        <v>0</v>
      </c>
      <c r="BQ22" s="79">
        <f>'Sectoral Constraints Fig 2-3 AR'!BQ21</f>
        <v>0</v>
      </c>
      <c r="BR22" s="79">
        <f>'Sectoral Constraints Fig 2-3 AR'!BR21</f>
        <v>0</v>
      </c>
      <c r="BS22" s="79">
        <f>'Sectoral Constraints Fig 2-3 AR'!BS21</f>
        <v>0</v>
      </c>
      <c r="BT22" s="79">
        <f>'Sectoral Constraints Fig 2-3 AR'!BT21</f>
        <v>0</v>
      </c>
      <c r="BU22" s="79">
        <f>'Sectoral Constraints Fig 2-3 AR'!BU21</f>
        <v>0</v>
      </c>
      <c r="BV22" s="79">
        <f>'Sectoral Constraints Fig 2-3 AR'!BV21</f>
        <v>0</v>
      </c>
      <c r="BW22" s="79">
        <f>'Sectoral Constraints Fig 2-3 AR'!BW21</f>
        <v>0</v>
      </c>
      <c r="BX22" s="79">
        <f>'Sectoral Constraints Fig 2-3 AR'!BX21</f>
        <v>0</v>
      </c>
      <c r="BY22" s="79">
        <f>'Sectoral Constraints Fig 2-3 AR'!BY21</f>
        <v>0</v>
      </c>
      <c r="BZ22" s="79">
        <f>'Sectoral Constraints Fig 2-3 AR'!BZ21</f>
        <v>0</v>
      </c>
      <c r="CA22" s="79">
        <f>'Sectoral Constraints Fig 2-3 AR'!CA21</f>
        <v>0</v>
      </c>
      <c r="CB22" s="79">
        <f>'Sectoral Constraints Fig 2-3 AR'!CB21</f>
        <v>0</v>
      </c>
      <c r="CC22" s="79">
        <f>'Sectoral Constraints Fig 2-3 AR'!CC21</f>
        <v>0</v>
      </c>
      <c r="CD22" s="79">
        <f>'Sectoral Constraints Fig 2-3 AR'!CD21</f>
        <v>0</v>
      </c>
      <c r="CE22" s="79">
        <f>'Sectoral Constraints Fig 2-3 AR'!CE21</f>
        <v>0</v>
      </c>
      <c r="CF22" s="79">
        <f>'Sectoral Constraints Fig 2-3 AR'!CF21</f>
        <v>0</v>
      </c>
      <c r="CG22" s="79">
        <f>'Sectoral Constraints Fig 2-3 AR'!CG21</f>
        <v>0</v>
      </c>
      <c r="CH22" s="79">
        <f>'Sectoral Constraints Fig 2-3 AR'!CH21</f>
        <v>0</v>
      </c>
      <c r="CI22" s="79">
        <f>'Sectoral Constraints Fig 2-3 AR'!CI21</f>
        <v>0</v>
      </c>
      <c r="CJ22" s="79">
        <f>'Sectoral Constraints Fig 2-3 AR'!CJ21</f>
        <v>0</v>
      </c>
      <c r="CK22" s="79">
        <f>'Sectoral Constraints Fig 2-3 AR'!CK21</f>
        <v>0</v>
      </c>
      <c r="CL22" s="79">
        <f>'Sectoral Constraints Fig 2-3 AR'!CL21</f>
        <v>0</v>
      </c>
      <c r="CM22" s="79">
        <f>'Sectoral Constraints Fig 2-3 AR'!CM21</f>
        <v>0</v>
      </c>
      <c r="CN22" s="79">
        <f>'Sectoral Constraints Fig 2-3 AR'!CN21</f>
        <v>0</v>
      </c>
      <c r="CO22" s="79">
        <f>'Sectoral Constraints Fig 2-3 AR'!CO21</f>
        <v>0</v>
      </c>
      <c r="CP22" s="79">
        <f>'Sectoral Constraints Fig 2-3 AR'!CP21</f>
        <v>0</v>
      </c>
      <c r="CQ22" s="79">
        <f>'Sectoral Constraints Fig 2-3 AR'!CQ21</f>
        <v>0</v>
      </c>
      <c r="CR22" s="79">
        <f>'Sectoral Constraints Fig 2-3 AR'!CR21</f>
        <v>0</v>
      </c>
      <c r="CS22" s="79">
        <f>'Sectoral Constraints Fig 2-3 AR'!CS21</f>
        <v>0</v>
      </c>
      <c r="CT22" s="79">
        <f>'Sectoral Constraints Fig 2-3 AR'!CT21</f>
        <v>0</v>
      </c>
      <c r="CU22" s="79">
        <f>'Sectoral Constraints Fig 2-3 AR'!CU21</f>
        <v>0</v>
      </c>
      <c r="CV22" s="79">
        <f>'Sectoral Constraints Fig 2-3 AR'!CV21</f>
        <v>0</v>
      </c>
      <c r="CW22" s="79">
        <f>'Sectoral Constraints Fig 2-3 AR'!CW21</f>
        <v>0</v>
      </c>
      <c r="CX22" s="79">
        <f>'Sectoral Constraints Fig 2-3 AR'!CX21</f>
        <v>0</v>
      </c>
      <c r="CY22" s="79">
        <f>'Sectoral Constraints Fig 2-3 AR'!CY21</f>
        <v>0</v>
      </c>
      <c r="CZ22" s="79">
        <f>'Sectoral Constraints Fig 2-3 AR'!CZ21</f>
        <v>0</v>
      </c>
      <c r="DA22" s="79">
        <f>'Sectoral Constraints Fig 2-3 AR'!DA21</f>
        <v>0</v>
      </c>
      <c r="DB22" s="79">
        <f>'Sectoral Constraints Fig 2-3 AR'!DB21</f>
        <v>0</v>
      </c>
      <c r="DC22" s="79">
        <f>'Sectoral Constraints Fig 2-3 AR'!DC21</f>
        <v>0</v>
      </c>
      <c r="DD22" s="79">
        <f>'Sectoral Constraints Fig 2-3 AR'!DD21</f>
        <v>0</v>
      </c>
      <c r="DE22" s="79">
        <f>'Sectoral Constraints Fig 2-3 AR'!DE21</f>
        <v>0</v>
      </c>
      <c r="DF22" s="79">
        <f>'Sectoral Constraints Fig 2-3 AR'!DF21</f>
        <v>7</v>
      </c>
      <c r="DG22" s="79">
        <f>'Sectoral Constraints Fig 2-3 AR'!DG21</f>
        <v>10</v>
      </c>
      <c r="DH22" s="79">
        <f>'Sectoral Constraints Fig 2-3 AR'!DH21</f>
        <v>0</v>
      </c>
      <c r="DI22" s="79">
        <f>'Sectoral Constraints Fig 2-3 AR'!DI21</f>
        <v>0</v>
      </c>
      <c r="DJ22" s="79">
        <f>'Sectoral Constraints Fig 2-3 AR'!DJ21</f>
        <v>9</v>
      </c>
      <c r="DK22" s="79">
        <f>'Sectoral Constraints Fig 2-3 AR'!DK21</f>
        <v>0</v>
      </c>
      <c r="DL22" s="79">
        <f>'Sectoral Constraints Fig 2-3 AR'!DL21</f>
        <v>2.2624434389140275</v>
      </c>
      <c r="DM22" s="79">
        <f>'Sectoral Constraints Fig 2-3 AR'!DM21</f>
        <v>0</v>
      </c>
      <c r="DN22" s="79">
        <f>'Sectoral Constraints Fig 2-3 AR'!DN21</f>
        <v>0</v>
      </c>
      <c r="DO22" s="79">
        <f>'Sectoral Constraints Fig 2-3 AR'!DO21</f>
        <v>0</v>
      </c>
      <c r="DP22" s="79">
        <f>'Sectoral Constraints Fig 2-3 AR'!DP21</f>
        <v>0</v>
      </c>
      <c r="DQ22" s="79">
        <f>'Sectoral Constraints Fig 2-3 AR'!DQ21</f>
        <v>0</v>
      </c>
      <c r="DR22" s="79">
        <f>'Sectoral Constraints Fig 2-3 AR'!DR21</f>
        <v>86.363636363636346</v>
      </c>
      <c r="DS22" s="79">
        <f>'Sectoral Constraints Fig 2-3 AR'!DS21</f>
        <v>83.018867924528323</v>
      </c>
      <c r="DT22" s="79">
        <f>'Sectoral Constraints Fig 2-3 AR'!DT21</f>
        <v>66.666666666666657</v>
      </c>
      <c r="DU22" s="79">
        <f>'Sectoral Constraints Fig 2-3 AR'!DU21</f>
        <v>100</v>
      </c>
      <c r="DV22" s="79">
        <f>'Sectoral Constraints Fig 2-3 AR'!DV21</f>
        <v>72</v>
      </c>
      <c r="DW22" s="79">
        <f>'Sectoral Constraints Fig 2-3 AR'!DW21</f>
        <v>0</v>
      </c>
      <c r="DX22" s="79">
        <v>86.797718225468842</v>
      </c>
      <c r="DY22" s="79">
        <v>94.117647058823522</v>
      </c>
      <c r="DZ22" s="79">
        <v>65</v>
      </c>
      <c r="EA22" s="79">
        <v>100</v>
      </c>
      <c r="EB22" s="100">
        <v>71</v>
      </c>
      <c r="EC22" s="79">
        <v>55.000000000000007</v>
      </c>
      <c r="ED22" s="100">
        <v>86.026200873362441</v>
      </c>
      <c r="EE22" s="100">
        <v>94.642857142857125</v>
      </c>
      <c r="EF22" s="100">
        <v>100</v>
      </c>
      <c r="EG22" s="100">
        <v>100</v>
      </c>
      <c r="EH22" s="100">
        <v>100</v>
      </c>
      <c r="EI22" s="100">
        <v>15.384615384615385</v>
      </c>
      <c r="EJ22" s="100">
        <v>91.629955947136565</v>
      </c>
      <c r="EK22" s="100">
        <v>100</v>
      </c>
      <c r="EL22" s="100">
        <v>91.17647058823529</v>
      </c>
      <c r="EM22" s="100">
        <v>97.619047619047606</v>
      </c>
      <c r="EN22" s="100">
        <v>90.625</v>
      </c>
      <c r="EO22" s="100">
        <v>0</v>
      </c>
      <c r="EP22" s="100">
        <v>96</v>
      </c>
      <c r="EQ22" s="100">
        <v>98</v>
      </c>
      <c r="ER22" s="100">
        <v>87</v>
      </c>
      <c r="ES22" s="100">
        <v>100</v>
      </c>
      <c r="ET22" s="100">
        <v>100</v>
      </c>
      <c r="EU22" s="100">
        <v>6</v>
      </c>
      <c r="EV22" s="100">
        <v>90.666666666666671</v>
      </c>
      <c r="EW22" s="100">
        <v>100</v>
      </c>
      <c r="EX22" s="100">
        <v>65.714285714285708</v>
      </c>
      <c r="EY22" s="100">
        <v>91.304347826086953</v>
      </c>
      <c r="EZ22" s="100">
        <v>53.571428571428569</v>
      </c>
      <c r="FA22" s="100">
        <v>80.952380952380949</v>
      </c>
    </row>
    <row r="23" spans="1:157" s="80" customFormat="1" ht="16.5" x14ac:dyDescent="0.3">
      <c r="A23" s="78" t="s">
        <v>70</v>
      </c>
      <c r="B23" s="79">
        <f>'Sectoral Constraints Fig 2-3 AR'!B22</f>
        <v>0</v>
      </c>
      <c r="C23" s="79">
        <f>'Sectoral Constraints Fig 2-3 AR'!C22</f>
        <v>0</v>
      </c>
      <c r="D23" s="79">
        <f>'Sectoral Constraints Fig 2-3 AR'!D22</f>
        <v>0</v>
      </c>
      <c r="E23" s="79">
        <f>'Sectoral Constraints Fig 2-3 AR'!E22</f>
        <v>0</v>
      </c>
      <c r="F23" s="79">
        <f>'Sectoral Constraints Fig 2-3 AR'!F22</f>
        <v>0</v>
      </c>
      <c r="G23" s="79">
        <f>'Sectoral Constraints Fig 2-3 AR'!G22</f>
        <v>0</v>
      </c>
      <c r="H23" s="79">
        <f>'Sectoral Constraints Fig 2-3 AR'!H22</f>
        <v>0</v>
      </c>
      <c r="I23" s="79">
        <f>'Sectoral Constraints Fig 2-3 AR'!I22</f>
        <v>0</v>
      </c>
      <c r="J23" s="79">
        <f>'Sectoral Constraints Fig 2-3 AR'!J22</f>
        <v>0</v>
      </c>
      <c r="K23" s="79">
        <f>'Sectoral Constraints Fig 2-3 AR'!K22</f>
        <v>0</v>
      </c>
      <c r="L23" s="79">
        <f>'Sectoral Constraints Fig 2-3 AR'!L22</f>
        <v>0</v>
      </c>
      <c r="M23" s="79">
        <f>'Sectoral Constraints Fig 2-3 AR'!M22</f>
        <v>0</v>
      </c>
      <c r="N23" s="79">
        <f>'Sectoral Constraints Fig 2-3 AR'!N22</f>
        <v>0</v>
      </c>
      <c r="O23" s="79">
        <f>'Sectoral Constraints Fig 2-3 AR'!O22</f>
        <v>0</v>
      </c>
      <c r="P23" s="79">
        <f>'Sectoral Constraints Fig 2-3 AR'!P22</f>
        <v>0</v>
      </c>
      <c r="Q23" s="79">
        <f>'Sectoral Constraints Fig 2-3 AR'!Q22</f>
        <v>0</v>
      </c>
      <c r="R23" s="79">
        <f>'Sectoral Constraints Fig 2-3 AR'!R22</f>
        <v>0</v>
      </c>
      <c r="S23" s="79">
        <f>'Sectoral Constraints Fig 2-3 AR'!S22</f>
        <v>0</v>
      </c>
      <c r="T23" s="79">
        <f>'Sectoral Constraints Fig 2-3 AR'!T22</f>
        <v>0</v>
      </c>
      <c r="U23" s="79">
        <f>'Sectoral Constraints Fig 2-3 AR'!U22</f>
        <v>0</v>
      </c>
      <c r="V23" s="79">
        <f>'Sectoral Constraints Fig 2-3 AR'!V22</f>
        <v>0</v>
      </c>
      <c r="W23" s="79">
        <f>'Sectoral Constraints Fig 2-3 AR'!W22</f>
        <v>0</v>
      </c>
      <c r="X23" s="79">
        <f>'Sectoral Constraints Fig 2-3 AR'!X22</f>
        <v>0</v>
      </c>
      <c r="Y23" s="79">
        <f>'Sectoral Constraints Fig 2-3 AR'!Y22</f>
        <v>0</v>
      </c>
      <c r="Z23" s="79">
        <f>'Sectoral Constraints Fig 2-3 AR'!Z22</f>
        <v>0</v>
      </c>
      <c r="AA23" s="79">
        <f>'Sectoral Constraints Fig 2-3 AR'!AA22</f>
        <v>0</v>
      </c>
      <c r="AB23" s="79">
        <f>'Sectoral Constraints Fig 2-3 AR'!AB22</f>
        <v>0</v>
      </c>
      <c r="AC23" s="79">
        <f>'Sectoral Constraints Fig 2-3 AR'!AC22</f>
        <v>0</v>
      </c>
      <c r="AD23" s="79">
        <f>'Sectoral Constraints Fig 2-3 AR'!AD22</f>
        <v>0</v>
      </c>
      <c r="AE23" s="79">
        <f>'Sectoral Constraints Fig 2-3 AR'!AE22</f>
        <v>0</v>
      </c>
      <c r="AF23" s="79">
        <f>'Sectoral Constraints Fig 2-3 AR'!AF22</f>
        <v>0</v>
      </c>
      <c r="AG23" s="79">
        <f>'Sectoral Constraints Fig 2-3 AR'!AG22</f>
        <v>0</v>
      </c>
      <c r="AH23" s="79">
        <f>'Sectoral Constraints Fig 2-3 AR'!AH22</f>
        <v>0</v>
      </c>
      <c r="AI23" s="79">
        <f>'Sectoral Constraints Fig 2-3 AR'!AI22</f>
        <v>0</v>
      </c>
      <c r="AJ23" s="79">
        <f>'Sectoral Constraints Fig 2-3 AR'!AJ22</f>
        <v>0</v>
      </c>
      <c r="AK23" s="79">
        <f>'Sectoral Constraints Fig 2-3 AR'!AK22</f>
        <v>0</v>
      </c>
      <c r="AL23" s="79">
        <f>'Sectoral Constraints Fig 2-3 AR'!AL22</f>
        <v>0</v>
      </c>
      <c r="AM23" s="79">
        <f>'Sectoral Constraints Fig 2-3 AR'!AM22</f>
        <v>0</v>
      </c>
      <c r="AN23" s="79">
        <f>'Sectoral Constraints Fig 2-3 AR'!AN22</f>
        <v>0</v>
      </c>
      <c r="AO23" s="79">
        <f>'Sectoral Constraints Fig 2-3 AR'!AO22</f>
        <v>0</v>
      </c>
      <c r="AP23" s="79">
        <f>'Sectoral Constraints Fig 2-3 AR'!AP22</f>
        <v>0</v>
      </c>
      <c r="AQ23" s="79">
        <f>'Sectoral Constraints Fig 2-3 AR'!AQ22</f>
        <v>0</v>
      </c>
      <c r="AR23" s="79">
        <f>'Sectoral Constraints Fig 2-3 AR'!AR22</f>
        <v>0</v>
      </c>
      <c r="AS23" s="79">
        <f>'Sectoral Constraints Fig 2-3 AR'!AS22</f>
        <v>0</v>
      </c>
      <c r="AT23" s="79">
        <f>'Sectoral Constraints Fig 2-3 AR'!AT22</f>
        <v>0</v>
      </c>
      <c r="AU23" s="79">
        <f>'Sectoral Constraints Fig 2-3 AR'!AU22</f>
        <v>0</v>
      </c>
      <c r="AV23" s="79">
        <f>'Sectoral Constraints Fig 2-3 AR'!AV22</f>
        <v>0</v>
      </c>
      <c r="AW23" s="79">
        <f>'Sectoral Constraints Fig 2-3 AR'!AW22</f>
        <v>0</v>
      </c>
      <c r="AX23" s="79">
        <f>'Sectoral Constraints Fig 2-3 AR'!AX22</f>
        <v>0</v>
      </c>
      <c r="AY23" s="79">
        <f>'Sectoral Constraints Fig 2-3 AR'!AY22</f>
        <v>0</v>
      </c>
      <c r="AZ23" s="79">
        <f>'Sectoral Constraints Fig 2-3 AR'!AZ22</f>
        <v>0</v>
      </c>
      <c r="BA23" s="79">
        <f>'Sectoral Constraints Fig 2-3 AR'!BA22</f>
        <v>0</v>
      </c>
      <c r="BB23" s="79">
        <f>'Sectoral Constraints Fig 2-3 AR'!BB22</f>
        <v>0</v>
      </c>
      <c r="BC23" s="79">
        <f>'Sectoral Constraints Fig 2-3 AR'!BC22</f>
        <v>0</v>
      </c>
      <c r="BD23" s="79">
        <f>'Sectoral Constraints Fig 2-3 AR'!BD22</f>
        <v>0</v>
      </c>
      <c r="BE23" s="79">
        <f>'Sectoral Constraints Fig 2-3 AR'!BE22</f>
        <v>0</v>
      </c>
      <c r="BF23" s="79">
        <f>'Sectoral Constraints Fig 2-3 AR'!BF22</f>
        <v>0</v>
      </c>
      <c r="BG23" s="79">
        <f>'Sectoral Constraints Fig 2-3 AR'!BG22</f>
        <v>0</v>
      </c>
      <c r="BH23" s="79">
        <f>'Sectoral Constraints Fig 2-3 AR'!BH22</f>
        <v>0</v>
      </c>
      <c r="BI23" s="79">
        <f>'Sectoral Constraints Fig 2-3 AR'!BI22</f>
        <v>0</v>
      </c>
      <c r="BJ23" s="79">
        <f>'Sectoral Constraints Fig 2-3 AR'!BJ22</f>
        <v>0</v>
      </c>
      <c r="BK23" s="79">
        <f>'Sectoral Constraints Fig 2-3 AR'!BK22</f>
        <v>0</v>
      </c>
      <c r="BL23" s="79">
        <f>'Sectoral Constraints Fig 2-3 AR'!BL22</f>
        <v>0</v>
      </c>
      <c r="BM23" s="79">
        <f>'Sectoral Constraints Fig 2-3 AR'!BM22</f>
        <v>0</v>
      </c>
      <c r="BN23" s="79">
        <f>'Sectoral Constraints Fig 2-3 AR'!BN22</f>
        <v>0</v>
      </c>
      <c r="BO23" s="79">
        <f>'Sectoral Constraints Fig 2-3 AR'!BO22</f>
        <v>0</v>
      </c>
      <c r="BP23" s="79">
        <f>'Sectoral Constraints Fig 2-3 AR'!BP22</f>
        <v>0</v>
      </c>
      <c r="BQ23" s="79">
        <f>'Sectoral Constraints Fig 2-3 AR'!BQ22</f>
        <v>0</v>
      </c>
      <c r="BR23" s="79">
        <f>'Sectoral Constraints Fig 2-3 AR'!BR22</f>
        <v>0</v>
      </c>
      <c r="BS23" s="79">
        <f>'Sectoral Constraints Fig 2-3 AR'!BS22</f>
        <v>0</v>
      </c>
      <c r="BT23" s="79">
        <f>'Sectoral Constraints Fig 2-3 AR'!BT22</f>
        <v>0</v>
      </c>
      <c r="BU23" s="79">
        <f>'Sectoral Constraints Fig 2-3 AR'!BU22</f>
        <v>0</v>
      </c>
      <c r="BV23" s="79">
        <f>'Sectoral Constraints Fig 2-3 AR'!BV22</f>
        <v>0</v>
      </c>
      <c r="BW23" s="79">
        <f>'Sectoral Constraints Fig 2-3 AR'!BW22</f>
        <v>0</v>
      </c>
      <c r="BX23" s="79">
        <f>'Sectoral Constraints Fig 2-3 AR'!BX22</f>
        <v>0</v>
      </c>
      <c r="BY23" s="79">
        <f>'Sectoral Constraints Fig 2-3 AR'!BY22</f>
        <v>0</v>
      </c>
      <c r="BZ23" s="79">
        <f>'Sectoral Constraints Fig 2-3 AR'!BZ22</f>
        <v>0</v>
      </c>
      <c r="CA23" s="79">
        <f>'Sectoral Constraints Fig 2-3 AR'!CA22</f>
        <v>0</v>
      </c>
      <c r="CB23" s="79">
        <f>'Sectoral Constraints Fig 2-3 AR'!CB22</f>
        <v>0</v>
      </c>
      <c r="CC23" s="79">
        <f>'Sectoral Constraints Fig 2-3 AR'!CC22</f>
        <v>0</v>
      </c>
      <c r="CD23" s="79">
        <f>'Sectoral Constraints Fig 2-3 AR'!CD22</f>
        <v>0</v>
      </c>
      <c r="CE23" s="79">
        <f>'Sectoral Constraints Fig 2-3 AR'!CE22</f>
        <v>0</v>
      </c>
      <c r="CF23" s="79">
        <f>'Sectoral Constraints Fig 2-3 AR'!CF22</f>
        <v>0</v>
      </c>
      <c r="CG23" s="79">
        <f>'Sectoral Constraints Fig 2-3 AR'!CG22</f>
        <v>0</v>
      </c>
      <c r="CH23" s="79">
        <f>'Sectoral Constraints Fig 2-3 AR'!CH22</f>
        <v>0</v>
      </c>
      <c r="CI23" s="79">
        <f>'Sectoral Constraints Fig 2-3 AR'!CI22</f>
        <v>0</v>
      </c>
      <c r="CJ23" s="79">
        <f>'Sectoral Constraints Fig 2-3 AR'!CJ22</f>
        <v>0</v>
      </c>
      <c r="CK23" s="79">
        <f>'Sectoral Constraints Fig 2-3 AR'!CK22</f>
        <v>0</v>
      </c>
      <c r="CL23" s="79">
        <f>'Sectoral Constraints Fig 2-3 AR'!CL22</f>
        <v>0</v>
      </c>
      <c r="CM23" s="79">
        <f>'Sectoral Constraints Fig 2-3 AR'!CM22</f>
        <v>0</v>
      </c>
      <c r="CN23" s="79">
        <f>'Sectoral Constraints Fig 2-3 AR'!CN22</f>
        <v>0</v>
      </c>
      <c r="CO23" s="79">
        <f>'Sectoral Constraints Fig 2-3 AR'!CO22</f>
        <v>0</v>
      </c>
      <c r="CP23" s="79">
        <f>'Sectoral Constraints Fig 2-3 AR'!CP22</f>
        <v>0</v>
      </c>
      <c r="CQ23" s="79">
        <f>'Sectoral Constraints Fig 2-3 AR'!CQ22</f>
        <v>0</v>
      </c>
      <c r="CR23" s="79">
        <f>'Sectoral Constraints Fig 2-3 AR'!CR22</f>
        <v>0</v>
      </c>
      <c r="CS23" s="79">
        <f>'Sectoral Constraints Fig 2-3 AR'!CS22</f>
        <v>0</v>
      </c>
      <c r="CT23" s="79">
        <f>'Sectoral Constraints Fig 2-3 AR'!CT22</f>
        <v>0</v>
      </c>
      <c r="CU23" s="79">
        <f>'Sectoral Constraints Fig 2-3 AR'!CU22</f>
        <v>0</v>
      </c>
      <c r="CV23" s="79">
        <f>'Sectoral Constraints Fig 2-3 AR'!CV22</f>
        <v>0</v>
      </c>
      <c r="CW23" s="79">
        <f>'Sectoral Constraints Fig 2-3 AR'!CW22</f>
        <v>0</v>
      </c>
      <c r="CX23" s="79">
        <f>'Sectoral Constraints Fig 2-3 AR'!CX22</f>
        <v>0</v>
      </c>
      <c r="CY23" s="79">
        <f>'Sectoral Constraints Fig 2-3 AR'!CY22</f>
        <v>0</v>
      </c>
      <c r="CZ23" s="79">
        <f>'Sectoral Constraints Fig 2-3 AR'!CZ22</f>
        <v>0</v>
      </c>
      <c r="DA23" s="79">
        <f>'Sectoral Constraints Fig 2-3 AR'!DA22</f>
        <v>0</v>
      </c>
      <c r="DB23" s="79">
        <f>'Sectoral Constraints Fig 2-3 AR'!DB22</f>
        <v>0</v>
      </c>
      <c r="DC23" s="79">
        <f>'Sectoral Constraints Fig 2-3 AR'!DC22</f>
        <v>0</v>
      </c>
      <c r="DD23" s="79">
        <f>'Sectoral Constraints Fig 2-3 AR'!DD22</f>
        <v>0</v>
      </c>
      <c r="DE23" s="79">
        <f>'Sectoral Constraints Fig 2-3 AR'!DE22</f>
        <v>0</v>
      </c>
      <c r="DF23" s="79">
        <f>'Sectoral Constraints Fig 2-3 AR'!DF22</f>
        <v>1</v>
      </c>
      <c r="DG23" s="79">
        <f>'Sectoral Constraints Fig 2-3 AR'!DG22</f>
        <v>4</v>
      </c>
      <c r="DH23" s="79">
        <f>'Sectoral Constraints Fig 2-3 AR'!DH22</f>
        <v>7</v>
      </c>
      <c r="DI23" s="79">
        <f>'Sectoral Constraints Fig 2-3 AR'!DI22</f>
        <v>0</v>
      </c>
      <c r="DJ23" s="79">
        <f>'Sectoral Constraints Fig 2-3 AR'!DJ22</f>
        <v>0</v>
      </c>
      <c r="DK23" s="79" t="str">
        <f>'Sectoral Constraints Fig 2-3 AR'!DK22</f>
        <v>ــ</v>
      </c>
      <c r="DL23" s="79">
        <f>'Sectoral Constraints Fig 2-3 AR'!DL22</f>
        <v>1.8072773032745189</v>
      </c>
      <c r="DM23" s="79">
        <f>'Sectoral Constraints Fig 2-3 AR'!DM22</f>
        <v>3.6363636363636367</v>
      </c>
      <c r="DN23" s="79">
        <f>'Sectoral Constraints Fig 2-3 AR'!DN22</f>
        <v>0</v>
      </c>
      <c r="DO23" s="79">
        <f>'Sectoral Constraints Fig 2-3 AR'!DO22</f>
        <v>0</v>
      </c>
      <c r="DP23" s="79">
        <f>'Sectoral Constraints Fig 2-3 AR'!DP22</f>
        <v>0</v>
      </c>
      <c r="DQ23" s="79" t="str">
        <f>'Sectoral Constraints Fig 2-3 AR'!DQ22</f>
        <v>-</v>
      </c>
      <c r="DR23" s="79">
        <f>'Sectoral Constraints Fig 2-3 AR'!DR22</f>
        <v>10.662177328843994</v>
      </c>
      <c r="DS23" s="79">
        <f>'Sectoral Constraints Fig 2-3 AR'!DS22</f>
        <v>0</v>
      </c>
      <c r="DT23" s="79">
        <f>'Sectoral Constraints Fig 2-3 AR'!DT22</f>
        <v>11.111111111111111</v>
      </c>
      <c r="DU23" s="79">
        <f>'Sectoral Constraints Fig 2-3 AR'!DU22</f>
        <v>0</v>
      </c>
      <c r="DV23" s="79">
        <f>'Sectoral Constraints Fig 2-3 AR'!DV22</f>
        <v>16</v>
      </c>
      <c r="DW23" s="79" t="str">
        <f>'Sectoral Constraints Fig 2-3 AR'!DW22</f>
        <v>-</v>
      </c>
      <c r="DX23" s="79">
        <v>0</v>
      </c>
      <c r="DY23" s="79">
        <v>13.725490196078431</v>
      </c>
      <c r="DZ23" s="79">
        <v>0</v>
      </c>
      <c r="EA23" s="79">
        <v>76.190476190476176</v>
      </c>
      <c r="EB23" s="100">
        <v>4</v>
      </c>
      <c r="EC23" s="79" t="s">
        <v>172</v>
      </c>
      <c r="ED23" s="100">
        <v>2.1834061135371177</v>
      </c>
      <c r="EE23" s="100">
        <v>0</v>
      </c>
      <c r="EF23" s="100">
        <v>0</v>
      </c>
      <c r="EG23" s="100">
        <v>0</v>
      </c>
      <c r="EH23" s="100">
        <v>12.5</v>
      </c>
      <c r="EI23" s="100">
        <v>0</v>
      </c>
      <c r="EJ23" s="100">
        <v>21.145374449339208</v>
      </c>
      <c r="EK23" s="100">
        <v>5.5555555555555554</v>
      </c>
      <c r="EL23" s="100">
        <v>55.882352941176471</v>
      </c>
      <c r="EM23" s="100">
        <v>0</v>
      </c>
      <c r="EN23" s="100">
        <v>53.125</v>
      </c>
      <c r="EO23" s="100">
        <v>1.7857142857142856</v>
      </c>
      <c r="EP23" s="100">
        <v>23</v>
      </c>
      <c r="EQ23" s="100">
        <v>8</v>
      </c>
      <c r="ER23" s="100">
        <v>79</v>
      </c>
      <c r="ES23" s="100">
        <v>0</v>
      </c>
      <c r="ET23" s="100">
        <v>50</v>
      </c>
      <c r="EU23" s="100">
        <v>0</v>
      </c>
      <c r="EV23" s="100">
        <v>20.444444444444446</v>
      </c>
      <c r="EW23" s="100">
        <v>7.4074074074074083</v>
      </c>
      <c r="EX23" s="100">
        <v>71.428571428571431</v>
      </c>
      <c r="EY23" s="100">
        <v>0</v>
      </c>
      <c r="EZ23" s="100">
        <v>57.142857142857139</v>
      </c>
      <c r="FA23" s="100">
        <v>0</v>
      </c>
    </row>
    <row r="24" spans="1:157" s="80" customFormat="1" ht="16.5" x14ac:dyDescent="0.3">
      <c r="A24" s="81" t="s">
        <v>72</v>
      </c>
      <c r="B24" s="79">
        <f>'Sectoral Constraints Fig 2-3 AR'!B23</f>
        <v>0</v>
      </c>
      <c r="C24" s="79">
        <f>'Sectoral Constraints Fig 2-3 AR'!C23</f>
        <v>0</v>
      </c>
      <c r="D24" s="79">
        <f>'Sectoral Constraints Fig 2-3 AR'!D23</f>
        <v>0</v>
      </c>
      <c r="E24" s="79">
        <f>'Sectoral Constraints Fig 2-3 AR'!E23</f>
        <v>0</v>
      </c>
      <c r="F24" s="79">
        <f>'Sectoral Constraints Fig 2-3 AR'!F23</f>
        <v>0</v>
      </c>
      <c r="G24" s="79">
        <f>'Sectoral Constraints Fig 2-3 AR'!G23</f>
        <v>0</v>
      </c>
      <c r="H24" s="79">
        <f>'Sectoral Constraints Fig 2-3 AR'!H23</f>
        <v>0</v>
      </c>
      <c r="I24" s="79">
        <f>'Sectoral Constraints Fig 2-3 AR'!I23</f>
        <v>0</v>
      </c>
      <c r="J24" s="79">
        <f>'Sectoral Constraints Fig 2-3 AR'!J23</f>
        <v>0</v>
      </c>
      <c r="K24" s="79">
        <f>'Sectoral Constraints Fig 2-3 AR'!K23</f>
        <v>0</v>
      </c>
      <c r="L24" s="79">
        <f>'Sectoral Constraints Fig 2-3 AR'!L23</f>
        <v>0</v>
      </c>
      <c r="M24" s="79">
        <f>'Sectoral Constraints Fig 2-3 AR'!M23</f>
        <v>0</v>
      </c>
      <c r="N24" s="79">
        <f>'Sectoral Constraints Fig 2-3 AR'!N23</f>
        <v>0</v>
      </c>
      <c r="O24" s="79">
        <f>'Sectoral Constraints Fig 2-3 AR'!O23</f>
        <v>0</v>
      </c>
      <c r="P24" s="79">
        <f>'Sectoral Constraints Fig 2-3 AR'!P23</f>
        <v>0</v>
      </c>
      <c r="Q24" s="79">
        <f>'Sectoral Constraints Fig 2-3 AR'!Q23</f>
        <v>0</v>
      </c>
      <c r="R24" s="79">
        <f>'Sectoral Constraints Fig 2-3 AR'!R23</f>
        <v>0</v>
      </c>
      <c r="S24" s="79">
        <f>'Sectoral Constraints Fig 2-3 AR'!S23</f>
        <v>0</v>
      </c>
      <c r="T24" s="79">
        <f>'Sectoral Constraints Fig 2-3 AR'!T23</f>
        <v>0</v>
      </c>
      <c r="U24" s="79">
        <f>'Sectoral Constraints Fig 2-3 AR'!U23</f>
        <v>0</v>
      </c>
      <c r="V24" s="79">
        <f>'Sectoral Constraints Fig 2-3 AR'!V23</f>
        <v>0</v>
      </c>
      <c r="W24" s="79">
        <f>'Sectoral Constraints Fig 2-3 AR'!W23</f>
        <v>0</v>
      </c>
      <c r="X24" s="79">
        <f>'Sectoral Constraints Fig 2-3 AR'!X23</f>
        <v>0</v>
      </c>
      <c r="Y24" s="79">
        <f>'Sectoral Constraints Fig 2-3 AR'!Y23</f>
        <v>0</v>
      </c>
      <c r="Z24" s="79">
        <f>'Sectoral Constraints Fig 2-3 AR'!Z23</f>
        <v>0</v>
      </c>
      <c r="AA24" s="79">
        <f>'Sectoral Constraints Fig 2-3 AR'!AA23</f>
        <v>0</v>
      </c>
      <c r="AB24" s="79">
        <f>'Sectoral Constraints Fig 2-3 AR'!AB23</f>
        <v>0</v>
      </c>
      <c r="AC24" s="79">
        <f>'Sectoral Constraints Fig 2-3 AR'!AC23</f>
        <v>0</v>
      </c>
      <c r="AD24" s="79">
        <f>'Sectoral Constraints Fig 2-3 AR'!AD23</f>
        <v>0</v>
      </c>
      <c r="AE24" s="79">
        <f>'Sectoral Constraints Fig 2-3 AR'!AE23</f>
        <v>0</v>
      </c>
      <c r="AF24" s="79">
        <f>'Sectoral Constraints Fig 2-3 AR'!AF23</f>
        <v>0</v>
      </c>
      <c r="AG24" s="79">
        <f>'Sectoral Constraints Fig 2-3 AR'!AG23</f>
        <v>0</v>
      </c>
      <c r="AH24" s="79">
        <f>'Sectoral Constraints Fig 2-3 AR'!AH23</f>
        <v>0</v>
      </c>
      <c r="AI24" s="79">
        <f>'Sectoral Constraints Fig 2-3 AR'!AI23</f>
        <v>0</v>
      </c>
      <c r="AJ24" s="79">
        <f>'Sectoral Constraints Fig 2-3 AR'!AJ23</f>
        <v>0</v>
      </c>
      <c r="AK24" s="79">
        <f>'Sectoral Constraints Fig 2-3 AR'!AK23</f>
        <v>0</v>
      </c>
      <c r="AL24" s="79">
        <f>'Sectoral Constraints Fig 2-3 AR'!AL23</f>
        <v>0</v>
      </c>
      <c r="AM24" s="79">
        <f>'Sectoral Constraints Fig 2-3 AR'!AM23</f>
        <v>0</v>
      </c>
      <c r="AN24" s="79">
        <f>'Sectoral Constraints Fig 2-3 AR'!AN23</f>
        <v>0</v>
      </c>
      <c r="AO24" s="79">
        <f>'Sectoral Constraints Fig 2-3 AR'!AO23</f>
        <v>0</v>
      </c>
      <c r="AP24" s="79">
        <f>'Sectoral Constraints Fig 2-3 AR'!AP23</f>
        <v>0</v>
      </c>
      <c r="AQ24" s="79">
        <f>'Sectoral Constraints Fig 2-3 AR'!AQ23</f>
        <v>0</v>
      </c>
      <c r="AR24" s="79">
        <f>'Sectoral Constraints Fig 2-3 AR'!AR23</f>
        <v>0</v>
      </c>
      <c r="AS24" s="79">
        <f>'Sectoral Constraints Fig 2-3 AR'!AS23</f>
        <v>0</v>
      </c>
      <c r="AT24" s="79">
        <f>'Sectoral Constraints Fig 2-3 AR'!AT23</f>
        <v>0</v>
      </c>
      <c r="AU24" s="79">
        <f>'Sectoral Constraints Fig 2-3 AR'!AU23</f>
        <v>0</v>
      </c>
      <c r="AV24" s="79">
        <f>'Sectoral Constraints Fig 2-3 AR'!AV23</f>
        <v>0</v>
      </c>
      <c r="AW24" s="79">
        <f>'Sectoral Constraints Fig 2-3 AR'!AW23</f>
        <v>0</v>
      </c>
      <c r="AX24" s="79">
        <f>'Sectoral Constraints Fig 2-3 AR'!AX23</f>
        <v>0</v>
      </c>
      <c r="AY24" s="79">
        <f>'Sectoral Constraints Fig 2-3 AR'!AY23</f>
        <v>0</v>
      </c>
      <c r="AZ24" s="79">
        <f>'Sectoral Constraints Fig 2-3 AR'!AZ23</f>
        <v>0</v>
      </c>
      <c r="BA24" s="79">
        <f>'Sectoral Constraints Fig 2-3 AR'!BA23</f>
        <v>0</v>
      </c>
      <c r="BB24" s="79">
        <f>'Sectoral Constraints Fig 2-3 AR'!BB23</f>
        <v>0</v>
      </c>
      <c r="BC24" s="79">
        <f>'Sectoral Constraints Fig 2-3 AR'!BC23</f>
        <v>0</v>
      </c>
      <c r="BD24" s="79">
        <f>'Sectoral Constraints Fig 2-3 AR'!BD23</f>
        <v>0</v>
      </c>
      <c r="BE24" s="79">
        <f>'Sectoral Constraints Fig 2-3 AR'!BE23</f>
        <v>0</v>
      </c>
      <c r="BF24" s="79">
        <f>'Sectoral Constraints Fig 2-3 AR'!BF23</f>
        <v>0</v>
      </c>
      <c r="BG24" s="79">
        <f>'Sectoral Constraints Fig 2-3 AR'!BG23</f>
        <v>0</v>
      </c>
      <c r="BH24" s="79">
        <f>'Sectoral Constraints Fig 2-3 AR'!BH23</f>
        <v>0</v>
      </c>
      <c r="BI24" s="79">
        <f>'Sectoral Constraints Fig 2-3 AR'!BI23</f>
        <v>0</v>
      </c>
      <c r="BJ24" s="79">
        <f>'Sectoral Constraints Fig 2-3 AR'!BJ23</f>
        <v>0</v>
      </c>
      <c r="BK24" s="79">
        <f>'Sectoral Constraints Fig 2-3 AR'!BK23</f>
        <v>0</v>
      </c>
      <c r="BL24" s="79">
        <f>'Sectoral Constraints Fig 2-3 AR'!BL23</f>
        <v>0</v>
      </c>
      <c r="BM24" s="79">
        <f>'Sectoral Constraints Fig 2-3 AR'!BM23</f>
        <v>0</v>
      </c>
      <c r="BN24" s="79">
        <f>'Sectoral Constraints Fig 2-3 AR'!BN23</f>
        <v>0</v>
      </c>
      <c r="BO24" s="79">
        <f>'Sectoral Constraints Fig 2-3 AR'!BO23</f>
        <v>0</v>
      </c>
      <c r="BP24" s="79">
        <f>'Sectoral Constraints Fig 2-3 AR'!BP23</f>
        <v>0</v>
      </c>
      <c r="BQ24" s="79">
        <f>'Sectoral Constraints Fig 2-3 AR'!BQ23</f>
        <v>0</v>
      </c>
      <c r="BR24" s="79">
        <f>'Sectoral Constraints Fig 2-3 AR'!BR23</f>
        <v>0</v>
      </c>
      <c r="BS24" s="79">
        <f>'Sectoral Constraints Fig 2-3 AR'!BS23</f>
        <v>0</v>
      </c>
      <c r="BT24" s="79">
        <f>'Sectoral Constraints Fig 2-3 AR'!BT23</f>
        <v>0</v>
      </c>
      <c r="BU24" s="79">
        <f>'Sectoral Constraints Fig 2-3 AR'!BU23</f>
        <v>0</v>
      </c>
      <c r="BV24" s="79">
        <f>'Sectoral Constraints Fig 2-3 AR'!BV23</f>
        <v>0</v>
      </c>
      <c r="BW24" s="79">
        <f>'Sectoral Constraints Fig 2-3 AR'!BW23</f>
        <v>0</v>
      </c>
      <c r="BX24" s="79">
        <f>'Sectoral Constraints Fig 2-3 AR'!BX23</f>
        <v>0</v>
      </c>
      <c r="BY24" s="79">
        <f>'Sectoral Constraints Fig 2-3 AR'!BY23</f>
        <v>0</v>
      </c>
      <c r="BZ24" s="79">
        <f>'Sectoral Constraints Fig 2-3 AR'!BZ23</f>
        <v>0</v>
      </c>
      <c r="CA24" s="79">
        <f>'Sectoral Constraints Fig 2-3 AR'!CA23</f>
        <v>0</v>
      </c>
      <c r="CB24" s="79">
        <f>'Sectoral Constraints Fig 2-3 AR'!CB23</f>
        <v>0</v>
      </c>
      <c r="CC24" s="79">
        <f>'Sectoral Constraints Fig 2-3 AR'!CC23</f>
        <v>0</v>
      </c>
      <c r="CD24" s="79">
        <f>'Sectoral Constraints Fig 2-3 AR'!CD23</f>
        <v>0</v>
      </c>
      <c r="CE24" s="79">
        <f>'Sectoral Constraints Fig 2-3 AR'!CE23</f>
        <v>0</v>
      </c>
      <c r="CF24" s="79">
        <f>'Sectoral Constraints Fig 2-3 AR'!CF23</f>
        <v>0</v>
      </c>
      <c r="CG24" s="79">
        <f>'Sectoral Constraints Fig 2-3 AR'!CG23</f>
        <v>0</v>
      </c>
      <c r="CH24" s="79">
        <f>'Sectoral Constraints Fig 2-3 AR'!CH23</f>
        <v>0</v>
      </c>
      <c r="CI24" s="79">
        <f>'Sectoral Constraints Fig 2-3 AR'!CI23</f>
        <v>0</v>
      </c>
      <c r="CJ24" s="79">
        <f>'Sectoral Constraints Fig 2-3 AR'!CJ23</f>
        <v>0</v>
      </c>
      <c r="CK24" s="79">
        <f>'Sectoral Constraints Fig 2-3 AR'!CK23</f>
        <v>0</v>
      </c>
      <c r="CL24" s="79">
        <f>'Sectoral Constraints Fig 2-3 AR'!CL23</f>
        <v>0</v>
      </c>
      <c r="CM24" s="79">
        <f>'Sectoral Constraints Fig 2-3 AR'!CM23</f>
        <v>0</v>
      </c>
      <c r="CN24" s="79">
        <f>'Sectoral Constraints Fig 2-3 AR'!CN23</f>
        <v>0</v>
      </c>
      <c r="CO24" s="79">
        <f>'Sectoral Constraints Fig 2-3 AR'!CO23</f>
        <v>0</v>
      </c>
      <c r="CP24" s="79">
        <f>'Sectoral Constraints Fig 2-3 AR'!CP23</f>
        <v>0</v>
      </c>
      <c r="CQ24" s="79">
        <f>'Sectoral Constraints Fig 2-3 AR'!CQ23</f>
        <v>0</v>
      </c>
      <c r="CR24" s="79">
        <f>'Sectoral Constraints Fig 2-3 AR'!CR23</f>
        <v>0</v>
      </c>
      <c r="CS24" s="79">
        <f>'Sectoral Constraints Fig 2-3 AR'!CS23</f>
        <v>0</v>
      </c>
      <c r="CT24" s="79">
        <f>'Sectoral Constraints Fig 2-3 AR'!CT23</f>
        <v>0</v>
      </c>
      <c r="CU24" s="79">
        <f>'Sectoral Constraints Fig 2-3 AR'!CU23</f>
        <v>0</v>
      </c>
      <c r="CV24" s="79">
        <f>'Sectoral Constraints Fig 2-3 AR'!CV23</f>
        <v>0</v>
      </c>
      <c r="CW24" s="79">
        <f>'Sectoral Constraints Fig 2-3 AR'!CW23</f>
        <v>0</v>
      </c>
      <c r="CX24" s="79">
        <f>'Sectoral Constraints Fig 2-3 AR'!CX23</f>
        <v>0</v>
      </c>
      <c r="CY24" s="79">
        <f>'Sectoral Constraints Fig 2-3 AR'!CY23</f>
        <v>0</v>
      </c>
      <c r="CZ24" s="79">
        <f>'Sectoral Constraints Fig 2-3 AR'!CZ23</f>
        <v>0</v>
      </c>
      <c r="DA24" s="79">
        <f>'Sectoral Constraints Fig 2-3 AR'!DA23</f>
        <v>0</v>
      </c>
      <c r="DB24" s="79">
        <f>'Sectoral Constraints Fig 2-3 AR'!DB23</f>
        <v>0</v>
      </c>
      <c r="DC24" s="79">
        <f>'Sectoral Constraints Fig 2-3 AR'!DC23</f>
        <v>0</v>
      </c>
      <c r="DD24" s="79">
        <f>'Sectoral Constraints Fig 2-3 AR'!DD23</f>
        <v>0</v>
      </c>
      <c r="DE24" s="79">
        <f>'Sectoral Constraints Fig 2-3 AR'!DE23</f>
        <v>0</v>
      </c>
      <c r="DF24" s="79">
        <f>'Sectoral Constraints Fig 2-3 AR'!DF23</f>
        <v>0</v>
      </c>
      <c r="DG24" s="79">
        <f>'Sectoral Constraints Fig 2-3 AR'!DG23</f>
        <v>0</v>
      </c>
      <c r="DH24" s="79">
        <f>'Sectoral Constraints Fig 2-3 AR'!DH23</f>
        <v>0</v>
      </c>
      <c r="DI24" s="79">
        <f>'Sectoral Constraints Fig 2-3 AR'!DI23</f>
        <v>0</v>
      </c>
      <c r="DJ24" s="79">
        <f>'Sectoral Constraints Fig 2-3 AR'!DJ23</f>
        <v>0</v>
      </c>
      <c r="DK24" s="79">
        <f>'Sectoral Constraints Fig 2-3 AR'!DK23</f>
        <v>71</v>
      </c>
      <c r="DL24" s="79">
        <f>'Sectoral Constraints Fig 2-3 AR'!DL23</f>
        <v>7.1674208144796383</v>
      </c>
      <c r="DM24" s="79">
        <f>'Sectoral Constraints Fig 2-3 AR'!DM23</f>
        <v>8.3487940630797794</v>
      </c>
      <c r="DN24" s="79">
        <f>'Sectoral Constraints Fig 2-3 AR'!DN23</f>
        <v>0</v>
      </c>
      <c r="DO24" s="79" t="str">
        <f>'Sectoral Constraints Fig 2-3 AR'!DO23</f>
        <v>-</v>
      </c>
      <c r="DP24" s="79">
        <f>'Sectoral Constraints Fig 2-3 AR'!DP23</f>
        <v>0</v>
      </c>
      <c r="DQ24" s="79">
        <f>'Sectoral Constraints Fig 2-3 AR'!DQ23</f>
        <v>100</v>
      </c>
      <c r="DR24" s="79">
        <f>'Sectoral Constraints Fig 2-3 AR'!DR23</f>
        <v>0</v>
      </c>
      <c r="DS24" s="79">
        <f>'Sectoral Constraints Fig 2-3 AR'!DS23</f>
        <v>0</v>
      </c>
      <c r="DT24" s="79">
        <f>'Sectoral Constraints Fig 2-3 AR'!DT23</f>
        <v>0</v>
      </c>
      <c r="DU24" s="79" t="str">
        <f>'Sectoral Constraints Fig 2-3 AR'!DU23</f>
        <v>-</v>
      </c>
      <c r="DV24" s="79">
        <f>'Sectoral Constraints Fig 2-3 AR'!DV23</f>
        <v>0</v>
      </c>
      <c r="DW24" s="79">
        <f>'Sectoral Constraints Fig 2-3 AR'!DW23</f>
        <v>68.965517241379317</v>
      </c>
      <c r="DX24" s="79">
        <v>0</v>
      </c>
      <c r="DY24" s="79">
        <v>4.5480914259194805</v>
      </c>
      <c r="DZ24" s="79">
        <v>0</v>
      </c>
      <c r="EA24" s="79" t="s">
        <v>172</v>
      </c>
      <c r="EB24" s="100">
        <v>0</v>
      </c>
      <c r="EC24" s="79">
        <v>80</v>
      </c>
      <c r="ED24" s="100">
        <v>0</v>
      </c>
      <c r="EE24" s="100">
        <v>0</v>
      </c>
      <c r="EF24" s="100">
        <v>0</v>
      </c>
      <c r="EG24" s="100">
        <v>0</v>
      </c>
      <c r="EH24" s="100">
        <v>0</v>
      </c>
      <c r="EI24" s="100">
        <v>0</v>
      </c>
      <c r="EJ24" s="100">
        <v>0.88105726872246704</v>
      </c>
      <c r="EK24" s="100">
        <v>1.8518518518518521</v>
      </c>
      <c r="EL24" s="100">
        <v>2.9411764705882351</v>
      </c>
      <c r="EM24" s="100">
        <v>7.1428571428571423</v>
      </c>
      <c r="EN24" s="100">
        <v>0</v>
      </c>
      <c r="EO24" s="100">
        <v>7.1428571428571423</v>
      </c>
      <c r="EP24" s="100">
        <v>3</v>
      </c>
      <c r="EQ24" s="100">
        <v>2</v>
      </c>
      <c r="ER24" s="100">
        <v>0</v>
      </c>
      <c r="ES24" s="100">
        <v>0</v>
      </c>
      <c r="ET24" s="100">
        <v>0</v>
      </c>
      <c r="EU24" s="100">
        <v>0</v>
      </c>
      <c r="EV24" s="100">
        <v>0</v>
      </c>
      <c r="EW24" s="100">
        <v>0</v>
      </c>
      <c r="EX24" s="100">
        <v>0</v>
      </c>
      <c r="EY24" s="100">
        <v>0</v>
      </c>
      <c r="EZ24" s="100">
        <v>0</v>
      </c>
      <c r="FA24" s="100">
        <v>9.5238095238095237</v>
      </c>
    </row>
    <row r="25" spans="1:157" ht="30" customHeight="1" x14ac:dyDescent="0.25">
      <c r="B25" s="140"/>
      <c r="C25" s="141"/>
      <c r="D25" s="141"/>
      <c r="E25" s="141"/>
      <c r="F25" s="141"/>
      <c r="G25" s="142"/>
      <c r="H25" s="140"/>
      <c r="I25" s="141"/>
      <c r="J25" s="141"/>
      <c r="K25" s="141"/>
      <c r="L25" s="141"/>
      <c r="M25" s="142"/>
      <c r="N25" s="140"/>
      <c r="O25" s="141"/>
      <c r="P25" s="141"/>
      <c r="Q25" s="141"/>
      <c r="R25" s="141"/>
      <c r="S25" s="142"/>
      <c r="T25" s="140"/>
      <c r="U25" s="141"/>
      <c r="V25" s="141"/>
      <c r="W25" s="141"/>
      <c r="X25" s="141"/>
      <c r="Y25" s="142"/>
      <c r="Z25" s="140"/>
      <c r="AA25" s="141"/>
      <c r="AB25" s="141"/>
      <c r="AC25" s="141"/>
      <c r="AD25" s="141"/>
      <c r="AE25" s="142"/>
      <c r="AF25" s="140"/>
      <c r="AG25" s="141"/>
      <c r="AH25" s="141"/>
      <c r="AI25" s="141"/>
      <c r="AJ25" s="141"/>
      <c r="AK25" s="142"/>
      <c r="AL25" s="140"/>
      <c r="AM25" s="141"/>
      <c r="AN25" s="141"/>
      <c r="AO25" s="141"/>
      <c r="AP25" s="141"/>
      <c r="AQ25" s="142"/>
      <c r="AR25" s="140"/>
      <c r="AS25" s="141"/>
      <c r="AT25" s="141"/>
      <c r="AU25" s="141"/>
      <c r="AV25" s="141"/>
      <c r="AW25" s="142"/>
      <c r="AX25" s="140"/>
      <c r="AY25" s="141"/>
      <c r="AZ25" s="141"/>
      <c r="BA25" s="141"/>
      <c r="BB25" s="141"/>
      <c r="BC25" s="142"/>
      <c r="BD25" s="140"/>
      <c r="BE25" s="141"/>
      <c r="BF25" s="141"/>
      <c r="BG25" s="141"/>
      <c r="BH25" s="141"/>
      <c r="BI25" s="142"/>
      <c r="BJ25" s="140"/>
      <c r="BK25" s="141"/>
      <c r="BL25" s="141"/>
      <c r="BM25" s="141"/>
      <c r="BN25" s="141"/>
      <c r="BO25" s="142"/>
      <c r="BP25" s="140"/>
      <c r="BQ25" s="141"/>
      <c r="BR25" s="141"/>
      <c r="BS25" s="141"/>
      <c r="BT25" s="141"/>
      <c r="BU25" s="142"/>
      <c r="BV25" s="140"/>
      <c r="BW25" s="141"/>
      <c r="BX25" s="141"/>
      <c r="BY25" s="141"/>
      <c r="BZ25" s="141"/>
      <c r="CA25" s="142"/>
      <c r="CB25" s="140"/>
      <c r="CC25" s="141"/>
      <c r="CD25" s="141"/>
      <c r="CE25" s="141"/>
      <c r="CF25" s="141"/>
      <c r="CG25" s="142"/>
      <c r="CH25" s="140"/>
      <c r="CI25" s="141"/>
      <c r="CJ25" s="141"/>
      <c r="CK25" s="141"/>
      <c r="CL25" s="141"/>
      <c r="CM25" s="142"/>
      <c r="CN25" s="140"/>
      <c r="CO25" s="141"/>
      <c r="CP25" s="141"/>
      <c r="CQ25" s="141"/>
      <c r="CR25" s="141"/>
      <c r="CS25" s="142"/>
      <c r="CT25" s="140"/>
      <c r="CU25" s="141"/>
      <c r="CV25" s="141"/>
      <c r="CW25" s="141"/>
      <c r="CX25" s="141"/>
      <c r="CY25" s="142"/>
      <c r="CZ25" s="140"/>
      <c r="DA25" s="141"/>
      <c r="DB25" s="141"/>
      <c r="DC25" s="141"/>
      <c r="DD25" s="141"/>
      <c r="DE25" s="142"/>
      <c r="DF25" s="140"/>
      <c r="DG25" s="141"/>
      <c r="DH25" s="141"/>
      <c r="DI25" s="141"/>
      <c r="DJ25" s="141"/>
      <c r="DK25" s="142"/>
      <c r="DL25" s="140"/>
      <c r="DM25" s="141"/>
      <c r="DN25" s="141"/>
      <c r="DO25" s="141"/>
      <c r="DP25" s="141"/>
      <c r="DQ25" s="142"/>
    </row>
  </sheetData>
  <mergeCells count="46">
    <mergeCell ref="EP1:EU1"/>
    <mergeCell ref="EV1:FA1"/>
    <mergeCell ref="DL25:DQ25"/>
    <mergeCell ref="AX25:BC25"/>
    <mergeCell ref="BD25:BI25"/>
    <mergeCell ref="BJ25:BO25"/>
    <mergeCell ref="BP25:BU25"/>
    <mergeCell ref="BV25:CA25"/>
    <mergeCell ref="CB25:CG25"/>
    <mergeCell ref="CH25:CM25"/>
    <mergeCell ref="CN25:CS25"/>
    <mergeCell ref="CT25:CY25"/>
    <mergeCell ref="CZ25:DE25"/>
    <mergeCell ref="DF25:DK25"/>
    <mergeCell ref="BJ1:BO1"/>
    <mergeCell ref="CH1:CM1"/>
    <mergeCell ref="B25:G25"/>
    <mergeCell ref="H25:M25"/>
    <mergeCell ref="N25:S25"/>
    <mergeCell ref="T25:Y25"/>
    <mergeCell ref="Z25:AE25"/>
    <mergeCell ref="AF25:AK25"/>
    <mergeCell ref="AL25:AQ25"/>
    <mergeCell ref="AR25:AW25"/>
    <mergeCell ref="BV1:CA1"/>
    <mergeCell ref="CB1:CG1"/>
    <mergeCell ref="AF1:AK1"/>
    <mergeCell ref="AL1:AQ1"/>
    <mergeCell ref="AR1:AW1"/>
    <mergeCell ref="AX1:BC1"/>
    <mergeCell ref="BD1:BI1"/>
    <mergeCell ref="BP1:BU1"/>
    <mergeCell ref="EJ1:EO1"/>
    <mergeCell ref="ED1:EI1"/>
    <mergeCell ref="B1:G1"/>
    <mergeCell ref="H1:M1"/>
    <mergeCell ref="N1:S1"/>
    <mergeCell ref="T1:Y1"/>
    <mergeCell ref="Z1:AE1"/>
    <mergeCell ref="CN1:CS1"/>
    <mergeCell ref="CT1:CY1"/>
    <mergeCell ref="CZ1:DE1"/>
    <mergeCell ref="DX1:EC1"/>
    <mergeCell ref="DR1:DW1"/>
    <mergeCell ref="DF1:DK1"/>
    <mergeCell ref="DL1:DQ1"/>
  </mergeCells>
  <conditionalFormatting sqref="B6:DQ24">
    <cfRule type="dataBar" priority="3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{2EA0847A-5875-4D8F-99D7-3A59CFAC9C23}</x14:id>
        </ext>
      </extLst>
    </cfRule>
    <cfRule type="cellIs" dxfId="18" priority="37" operator="equal">
      <formula>"-"</formula>
    </cfRule>
  </conditionalFormatting>
  <conditionalFormatting sqref="DX6:DX24">
    <cfRule type="dataBar" priority="3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{BB19E184-0AD6-4306-898E-E45A7BC907D9}</x14:id>
        </ext>
      </extLst>
    </cfRule>
  </conditionalFormatting>
  <conditionalFormatting sqref="DX6:EI24">
    <cfRule type="cellIs" dxfId="17" priority="17" operator="equal">
      <formula>"-"</formula>
    </cfRule>
  </conditionalFormatting>
  <conditionalFormatting sqref="DY6:DY24">
    <cfRule type="dataBar" priority="3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{6DD966EC-518B-4954-B7DC-2E43A32A8F93}</x14:id>
        </ext>
      </extLst>
    </cfRule>
  </conditionalFormatting>
  <conditionalFormatting sqref="DZ6:DZ24">
    <cfRule type="dataBar" priority="3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{D8020450-4297-47F2-8D87-09A56A21A34B}</x14:id>
        </ext>
      </extLst>
    </cfRule>
  </conditionalFormatting>
  <conditionalFormatting sqref="EA6:EA24">
    <cfRule type="dataBar" priority="2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{5F31B7E1-D6A1-4664-81E0-187AD2E24746}</x14:id>
        </ext>
      </extLst>
    </cfRule>
  </conditionalFormatting>
  <conditionalFormatting sqref="EB6:EB24">
    <cfRule type="dataBar" priority="2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{472D1B5A-EB99-4BF0-A061-302319FCA5BF}</x14:id>
        </ext>
      </extLst>
    </cfRule>
  </conditionalFormatting>
  <conditionalFormatting sqref="EC6:EC24">
    <cfRule type="dataBar" priority="2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{434FFD6C-A939-4F0C-A79B-7BB3C3C2FE7C}</x14:id>
        </ext>
      </extLst>
    </cfRule>
  </conditionalFormatting>
  <conditionalFormatting sqref="ED6:EI24">
    <cfRule type="dataBar" priority="1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{45621232-EF9E-4E7C-B470-A4E5051607F8}</x14:id>
        </ext>
      </extLst>
    </cfRule>
  </conditionalFormatting>
  <conditionalFormatting sqref="EJ6:EJ24">
    <cfRule type="dataBar" priority="1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{A5F8BA7A-138E-4CD3-943E-A7D468806A57}</x14:id>
        </ext>
      </extLst>
    </cfRule>
  </conditionalFormatting>
  <conditionalFormatting sqref="EK6:EK24">
    <cfRule type="dataBar" priority="1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{AE404338-1CD3-41E1-9A27-84F5EB83377B}</x14:id>
        </ext>
      </extLst>
    </cfRule>
  </conditionalFormatting>
  <conditionalFormatting sqref="EL6:EO24">
    <cfRule type="dataBar" priority="1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{98036064-A7D7-4D25-B2CF-E8D090AA60F3}</x14:id>
        </ext>
      </extLst>
    </cfRule>
  </conditionalFormatting>
  <conditionalFormatting sqref="EP6:EP24">
    <cfRule type="dataBar" priority="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{C567F095-166D-4AB7-9EE9-813C4B15A3B5}</x14:id>
        </ext>
      </extLst>
    </cfRule>
  </conditionalFormatting>
  <conditionalFormatting sqref="EQ6:EQ24">
    <cfRule type="dataBar" priority="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{CCCA8118-EEFF-495B-89DC-774465C60B7D}</x14:id>
        </ext>
      </extLst>
    </cfRule>
  </conditionalFormatting>
  <conditionalFormatting sqref="ER6:ER24">
    <cfRule type="dataBar" priority="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{BDC8CDEC-CFC7-42FB-85CA-BCEA1D338933}</x14:id>
        </ext>
      </extLst>
    </cfRule>
  </conditionalFormatting>
  <conditionalFormatting sqref="ES6:ES24">
    <cfRule type="dataBar" priority="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{E5499357-602C-414E-8076-40634DA24F07}</x14:id>
        </ext>
      </extLst>
    </cfRule>
  </conditionalFormatting>
  <conditionalFormatting sqref="ET6:ET24">
    <cfRule type="dataBar" priority="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{DAC1E277-15F9-489A-A074-FF0E91C7D963}</x14:id>
        </ext>
      </extLst>
    </cfRule>
  </conditionalFormatting>
  <conditionalFormatting sqref="EU6:EU24">
    <cfRule type="dataBar" priority="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{3AE6D4D5-1F94-4317-BE9E-4D8068D484DA}</x14:id>
        </ext>
      </extLst>
    </cfRule>
  </conditionalFormatting>
  <conditionalFormatting sqref="EV6:EV24">
    <cfRule type="dataBar" priority="1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{F2C3EDAC-FC61-483C-839F-DDD3BB64E7BF}</x14:id>
        </ext>
      </extLst>
    </cfRule>
  </conditionalFormatting>
  <conditionalFormatting sqref="EW6:EW24">
    <cfRule type="dataBar" priority="1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{4E2C1EFD-DBD8-4E24-8801-9B59AC6E2E83}</x14:id>
        </ext>
      </extLst>
    </cfRule>
  </conditionalFormatting>
  <conditionalFormatting sqref="EX6:EX24">
    <cfRule type="dataBar" priority="1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{1DC59DA7-B956-4C50-8168-776C957EB86D}</x14:id>
        </ext>
      </extLst>
    </cfRule>
  </conditionalFormatting>
  <conditionalFormatting sqref="EY6:EY24">
    <cfRule type="dataBar" priority="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{43CA72CE-A44E-4F9D-BF94-0F0DF92640EA}</x14:id>
        </ext>
      </extLst>
    </cfRule>
  </conditionalFormatting>
  <conditionalFormatting sqref="EZ6:EZ24">
    <cfRule type="dataBar" priority="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{10EDC838-0D7F-4D2E-9F97-96BD350C82CC}</x14:id>
        </ext>
      </extLst>
    </cfRule>
  </conditionalFormatting>
  <conditionalFormatting sqref="FA6:FA24">
    <cfRule type="dataBar" priority="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{243010F1-415E-4651-B8C4-8E4CEC89F72D}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A0847A-5875-4D8F-99D7-3A59CFAC9C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B6:DQ24</xm:sqref>
        </x14:conditionalFormatting>
        <x14:conditionalFormatting xmlns:xm="http://schemas.microsoft.com/office/excel/2006/main">
          <x14:cfRule type="dataBar" id="{BB19E184-0AD6-4306-898E-E45A7BC907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DX6:DX24</xm:sqref>
        </x14:conditionalFormatting>
        <x14:conditionalFormatting xmlns:xm="http://schemas.microsoft.com/office/excel/2006/main">
          <x14:cfRule type="dataBar" id="{6DD966EC-518B-4954-B7DC-2E43A32A8F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DY6:DY24</xm:sqref>
        </x14:conditionalFormatting>
        <x14:conditionalFormatting xmlns:xm="http://schemas.microsoft.com/office/excel/2006/main">
          <x14:cfRule type="dataBar" id="{D8020450-4297-47F2-8D87-09A56A21A3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DZ6:DZ24</xm:sqref>
        </x14:conditionalFormatting>
        <x14:conditionalFormatting xmlns:xm="http://schemas.microsoft.com/office/excel/2006/main">
          <x14:cfRule type="dataBar" id="{5F31B7E1-D6A1-4664-81E0-187AD2E247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EA6:EA24</xm:sqref>
        </x14:conditionalFormatting>
        <x14:conditionalFormatting xmlns:xm="http://schemas.microsoft.com/office/excel/2006/main">
          <x14:cfRule type="dataBar" id="{472D1B5A-EB99-4BF0-A061-302319FCA5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EB6:EB24</xm:sqref>
        </x14:conditionalFormatting>
        <x14:conditionalFormatting xmlns:xm="http://schemas.microsoft.com/office/excel/2006/main">
          <x14:cfRule type="dataBar" id="{434FFD6C-A939-4F0C-A79B-7BB3C3C2FE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EC6:EC24</xm:sqref>
        </x14:conditionalFormatting>
        <x14:conditionalFormatting xmlns:xm="http://schemas.microsoft.com/office/excel/2006/main">
          <x14:cfRule type="dataBar" id="{45621232-EF9E-4E7C-B470-A4E5051607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ED6:EI24</xm:sqref>
        </x14:conditionalFormatting>
        <x14:conditionalFormatting xmlns:xm="http://schemas.microsoft.com/office/excel/2006/main">
          <x14:cfRule type="dataBar" id="{A5F8BA7A-138E-4CD3-943E-A7D468806A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EJ6:EJ24</xm:sqref>
        </x14:conditionalFormatting>
        <x14:conditionalFormatting xmlns:xm="http://schemas.microsoft.com/office/excel/2006/main">
          <x14:cfRule type="dataBar" id="{AE404338-1CD3-41E1-9A27-84F5EB8337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EK6:EK24</xm:sqref>
        </x14:conditionalFormatting>
        <x14:conditionalFormatting xmlns:xm="http://schemas.microsoft.com/office/excel/2006/main">
          <x14:cfRule type="dataBar" id="{98036064-A7D7-4D25-B2CF-E8D090AA60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EL6:EO24</xm:sqref>
        </x14:conditionalFormatting>
        <x14:conditionalFormatting xmlns:xm="http://schemas.microsoft.com/office/excel/2006/main">
          <x14:cfRule type="dataBar" id="{C567F095-166D-4AB7-9EE9-813C4B15A3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EP6:EP24</xm:sqref>
        </x14:conditionalFormatting>
        <x14:conditionalFormatting xmlns:xm="http://schemas.microsoft.com/office/excel/2006/main">
          <x14:cfRule type="dataBar" id="{CCCA8118-EEFF-495B-89DC-774465C60B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EQ6:EQ24</xm:sqref>
        </x14:conditionalFormatting>
        <x14:conditionalFormatting xmlns:xm="http://schemas.microsoft.com/office/excel/2006/main">
          <x14:cfRule type="dataBar" id="{BDC8CDEC-CFC7-42FB-85CA-BCEA1D3389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ER6:ER24</xm:sqref>
        </x14:conditionalFormatting>
        <x14:conditionalFormatting xmlns:xm="http://schemas.microsoft.com/office/excel/2006/main">
          <x14:cfRule type="dataBar" id="{E5499357-602C-414E-8076-40634DA24F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ES6:ES24</xm:sqref>
        </x14:conditionalFormatting>
        <x14:conditionalFormatting xmlns:xm="http://schemas.microsoft.com/office/excel/2006/main">
          <x14:cfRule type="dataBar" id="{DAC1E277-15F9-489A-A074-FF0E91C7D9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ET6:ET24</xm:sqref>
        </x14:conditionalFormatting>
        <x14:conditionalFormatting xmlns:xm="http://schemas.microsoft.com/office/excel/2006/main">
          <x14:cfRule type="dataBar" id="{3AE6D4D5-1F94-4317-BE9E-4D8068D484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EU6:EU24</xm:sqref>
        </x14:conditionalFormatting>
        <x14:conditionalFormatting xmlns:xm="http://schemas.microsoft.com/office/excel/2006/main">
          <x14:cfRule type="dataBar" id="{F2C3EDAC-FC61-483C-839F-DDD3BB64E7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EV6:EV24</xm:sqref>
        </x14:conditionalFormatting>
        <x14:conditionalFormatting xmlns:xm="http://schemas.microsoft.com/office/excel/2006/main">
          <x14:cfRule type="dataBar" id="{4E2C1EFD-DBD8-4E24-8801-9B59AC6E2E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EW6:EW24</xm:sqref>
        </x14:conditionalFormatting>
        <x14:conditionalFormatting xmlns:xm="http://schemas.microsoft.com/office/excel/2006/main">
          <x14:cfRule type="dataBar" id="{1DC59DA7-B956-4C50-8168-776C957EB8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EX6:EX24</xm:sqref>
        </x14:conditionalFormatting>
        <x14:conditionalFormatting xmlns:xm="http://schemas.microsoft.com/office/excel/2006/main">
          <x14:cfRule type="dataBar" id="{43CA72CE-A44E-4F9D-BF94-0F0DF92640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EY6:EY24</xm:sqref>
        </x14:conditionalFormatting>
        <x14:conditionalFormatting xmlns:xm="http://schemas.microsoft.com/office/excel/2006/main">
          <x14:cfRule type="dataBar" id="{10EDC838-0D7F-4D2E-9F97-96BD350C82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EZ6:EZ24</xm:sqref>
        </x14:conditionalFormatting>
        <x14:conditionalFormatting xmlns:xm="http://schemas.microsoft.com/office/excel/2006/main">
          <x14:cfRule type="dataBar" id="{243010F1-415E-4651-B8C4-8E4CEC89F7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FA6:FA24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67"/>
  <sheetViews>
    <sheetView zoomScale="80" zoomScaleNormal="80" workbookViewId="0">
      <pane xSplit="6" ySplit="3" topLeftCell="BQ4" activePane="bottomRight" state="frozen"/>
      <selection pane="topRight" activeCell="E1" sqref="E1"/>
      <selection pane="bottomLeft" activeCell="A2" sqref="A2"/>
      <selection pane="bottomRight" activeCell="F26" sqref="F26:F43"/>
    </sheetView>
  </sheetViews>
  <sheetFormatPr defaultColWidth="9.140625" defaultRowHeight="12.75" x14ac:dyDescent="0.2"/>
  <cols>
    <col min="1" max="1" width="38.28515625" style="2" customWidth="1"/>
    <col min="2" max="2" width="34.7109375" style="3" customWidth="1"/>
    <col min="3" max="3" width="23.5703125" style="3" customWidth="1"/>
    <col min="4" max="4" width="33.7109375" style="3" customWidth="1"/>
    <col min="5" max="5" width="32.140625" style="3" customWidth="1"/>
    <col min="6" max="6" width="33.140625" style="3" customWidth="1"/>
    <col min="7" max="7" width="12.42578125" style="3" bestFit="1" customWidth="1"/>
    <col min="8" max="8" width="12.28515625" style="3" bestFit="1" customWidth="1"/>
    <col min="9" max="9" width="11.85546875" style="3" bestFit="1" customWidth="1"/>
    <col min="10" max="11" width="12.42578125" style="3" bestFit="1" customWidth="1"/>
    <col min="12" max="12" width="12.28515625" style="3" bestFit="1" customWidth="1"/>
    <col min="13" max="13" width="11.85546875" style="3" bestFit="1" customWidth="1"/>
    <col min="14" max="15" width="12.42578125" style="3" bestFit="1" customWidth="1"/>
    <col min="16" max="16" width="12.28515625" style="3" bestFit="1" customWidth="1"/>
    <col min="17" max="17" width="11.85546875" style="3" bestFit="1" customWidth="1"/>
    <col min="18" max="19" width="12.42578125" style="3" bestFit="1" customWidth="1"/>
    <col min="20" max="20" width="12.28515625" style="3" bestFit="1" customWidth="1"/>
    <col min="21" max="21" width="11.85546875" style="3" bestFit="1" customWidth="1"/>
    <col min="22" max="23" width="12.42578125" style="3" bestFit="1" customWidth="1"/>
    <col min="24" max="24" width="13.140625" style="3" bestFit="1" customWidth="1"/>
    <col min="25" max="25" width="11.85546875" style="3" bestFit="1" customWidth="1"/>
    <col min="26" max="26" width="12.42578125" style="3" bestFit="1" customWidth="1"/>
    <col min="27" max="28" width="11.85546875" style="3" customWidth="1"/>
    <col min="29" max="46" width="11.85546875" style="2" customWidth="1"/>
    <col min="47" max="16384" width="9.140625" style="2"/>
  </cols>
  <sheetData>
    <row r="1" spans="2:78" x14ac:dyDescent="0.2">
      <c r="D1" s="55"/>
      <c r="E1" s="38"/>
      <c r="F1" s="38"/>
    </row>
    <row r="2" spans="2:78" ht="13.5" customHeight="1" thickBot="1" x14ac:dyDescent="0.25">
      <c r="D2" s="55"/>
      <c r="E2" s="38"/>
      <c r="F2" s="38"/>
      <c r="AU2" s="66" t="s">
        <v>163</v>
      </c>
      <c r="AW2" s="95" t="s">
        <v>159</v>
      </c>
      <c r="AY2" s="95" t="s">
        <v>170</v>
      </c>
      <c r="BB2" s="95" t="s">
        <v>175</v>
      </c>
      <c r="BD2" s="66" t="s">
        <v>182</v>
      </c>
      <c r="BF2" s="66" t="s">
        <v>190</v>
      </c>
      <c r="BH2" s="95" t="s">
        <v>192</v>
      </c>
      <c r="BJ2" s="95" t="s">
        <v>197</v>
      </c>
      <c r="BL2" s="66" t="s">
        <v>204</v>
      </c>
      <c r="BN2" s="66" t="s">
        <v>208</v>
      </c>
      <c r="BP2" s="95" t="s">
        <v>228</v>
      </c>
      <c r="BR2" s="95" t="s">
        <v>247</v>
      </c>
      <c r="BT2" s="66" t="s">
        <v>251</v>
      </c>
      <c r="BV2" s="66" t="s">
        <v>256</v>
      </c>
      <c r="BX2" s="95" t="s">
        <v>302</v>
      </c>
      <c r="BZ2" s="95" t="s">
        <v>302</v>
      </c>
    </row>
    <row r="3" spans="2:78" ht="13.5" customHeight="1" thickBot="1" x14ac:dyDescent="0.25">
      <c r="B3" s="2"/>
      <c r="C3" s="2"/>
      <c r="D3" s="56"/>
      <c r="E3" s="39" t="s">
        <v>162</v>
      </c>
      <c r="F3" s="40" t="s">
        <v>45</v>
      </c>
      <c r="G3" s="66" t="s">
        <v>74</v>
      </c>
      <c r="H3" s="66"/>
      <c r="I3" s="66" t="s">
        <v>75</v>
      </c>
      <c r="J3" s="66"/>
      <c r="K3" s="66" t="s">
        <v>76</v>
      </c>
      <c r="L3" s="66"/>
      <c r="M3" s="66" t="s">
        <v>77</v>
      </c>
      <c r="N3" s="66"/>
      <c r="O3" s="66" t="s">
        <v>78</v>
      </c>
      <c r="P3" s="66"/>
      <c r="Q3" s="66" t="s">
        <v>79</v>
      </c>
      <c r="R3" s="66"/>
      <c r="S3" s="66" t="s">
        <v>80</v>
      </c>
      <c r="T3" s="66"/>
      <c r="U3" s="66" t="s">
        <v>81</v>
      </c>
      <c r="V3" s="66"/>
      <c r="W3" s="66" t="s">
        <v>82</v>
      </c>
      <c r="X3" s="66"/>
      <c r="Y3" s="66" t="s">
        <v>83</v>
      </c>
      <c r="Z3" s="66"/>
      <c r="AA3" s="66" t="s">
        <v>84</v>
      </c>
      <c r="AB3" s="66"/>
      <c r="AC3" s="66" t="s">
        <v>85</v>
      </c>
      <c r="AD3" s="66"/>
      <c r="AE3" s="66" t="s">
        <v>86</v>
      </c>
      <c r="AF3" s="66"/>
      <c r="AG3" s="66" t="s">
        <v>87</v>
      </c>
      <c r="AH3" s="66"/>
      <c r="AI3" s="66" t="s">
        <v>88</v>
      </c>
      <c r="AJ3" s="66"/>
      <c r="AK3" s="66" t="s">
        <v>89</v>
      </c>
      <c r="AL3" s="66"/>
      <c r="AM3" s="66" t="s">
        <v>90</v>
      </c>
      <c r="AN3" s="66"/>
      <c r="AO3" s="66" t="s">
        <v>91</v>
      </c>
      <c r="AP3" s="66"/>
      <c r="AQ3" s="66" t="s">
        <v>92</v>
      </c>
      <c r="AR3" s="66"/>
      <c r="AS3" s="66" t="s">
        <v>93</v>
      </c>
      <c r="AT3" s="66"/>
      <c r="AU3" s="66" t="s">
        <v>155</v>
      </c>
      <c r="AV3" s="66"/>
      <c r="AW3" s="95" t="s">
        <v>160</v>
      </c>
      <c r="AX3" s="66"/>
      <c r="AY3" s="95" t="s">
        <v>171</v>
      </c>
      <c r="AZ3" s="66"/>
      <c r="BA3" s="66"/>
      <c r="BB3" s="66" t="s">
        <v>174</v>
      </c>
      <c r="BC3" s="66"/>
      <c r="BD3" s="66" t="s">
        <v>181</v>
      </c>
      <c r="BE3" s="66"/>
      <c r="BF3" s="66" t="s">
        <v>191</v>
      </c>
      <c r="BH3" s="95" t="s">
        <v>193</v>
      </c>
      <c r="BI3" s="66"/>
      <c r="BJ3" s="66" t="s">
        <v>198</v>
      </c>
      <c r="BL3" s="66" t="s">
        <v>181</v>
      </c>
      <c r="BN3" s="66" t="s">
        <v>209</v>
      </c>
      <c r="BP3" s="95" t="s">
        <v>193</v>
      </c>
      <c r="BR3" s="66" t="s">
        <v>198</v>
      </c>
      <c r="BT3" s="66" t="s">
        <v>181</v>
      </c>
      <c r="BV3" s="66" t="s">
        <v>257</v>
      </c>
      <c r="BX3" s="95" t="s">
        <v>303</v>
      </c>
      <c r="BZ3" s="95" t="s">
        <v>193</v>
      </c>
    </row>
    <row r="4" spans="2:78" ht="15" x14ac:dyDescent="0.25">
      <c r="B4" s="2"/>
      <c r="C4" s="2"/>
      <c r="D4" s="53"/>
      <c r="E4" s="82" t="s">
        <v>287</v>
      </c>
      <c r="F4" s="15" t="s">
        <v>237</v>
      </c>
      <c r="G4" s="67"/>
      <c r="H4" s="122"/>
      <c r="I4" s="67"/>
      <c r="J4" s="122"/>
      <c r="K4" s="67"/>
      <c r="L4" s="122"/>
      <c r="M4" s="67"/>
      <c r="N4" s="122"/>
      <c r="O4" s="67"/>
      <c r="P4" s="122"/>
      <c r="Q4" s="67"/>
      <c r="R4" s="122"/>
      <c r="S4" s="67"/>
      <c r="T4" s="122"/>
      <c r="U4" s="67"/>
      <c r="V4" s="122"/>
      <c r="W4" s="67"/>
      <c r="X4" s="122"/>
      <c r="Y4" s="67"/>
      <c r="Z4" s="122"/>
      <c r="AA4" s="67"/>
      <c r="AB4" s="122"/>
      <c r="AC4" s="67"/>
      <c r="AD4" s="122"/>
      <c r="AE4" s="67"/>
      <c r="AF4" s="122"/>
      <c r="AG4" s="67"/>
      <c r="AH4" s="122"/>
      <c r="AI4" s="67"/>
      <c r="AJ4" s="122"/>
      <c r="AK4" s="67"/>
      <c r="AL4" s="122"/>
      <c r="AM4" s="67"/>
      <c r="AN4" s="122"/>
      <c r="AO4" s="67"/>
      <c r="AP4" s="122"/>
      <c r="AQ4" s="13">
        <v>100</v>
      </c>
      <c r="AR4" s="122"/>
      <c r="AS4" s="67">
        <v>100</v>
      </c>
      <c r="AT4" s="122"/>
      <c r="AU4" s="67">
        <v>100</v>
      </c>
      <c r="AV4" s="122"/>
      <c r="AW4" s="99">
        <v>100</v>
      </c>
      <c r="AX4" s="122"/>
      <c r="AY4" s="99">
        <v>100</v>
      </c>
      <c r="AZ4" s="122"/>
      <c r="BA4" s="122"/>
      <c r="BB4" s="98">
        <v>100</v>
      </c>
      <c r="BC4" s="122"/>
      <c r="BD4" s="98">
        <v>79.822616407982267</v>
      </c>
      <c r="BE4" s="122"/>
      <c r="BF4" s="108">
        <v>86</v>
      </c>
      <c r="BH4" s="98">
        <v>78.336980306345751</v>
      </c>
      <c r="BJ4" s="98">
        <v>87.103594080338269</v>
      </c>
      <c r="BL4" s="98">
        <v>86.752136752136749</v>
      </c>
      <c r="BN4" s="98" t="s">
        <v>172</v>
      </c>
      <c r="BP4" s="98">
        <v>26.086956521739129</v>
      </c>
      <c r="BR4" s="98">
        <v>39</v>
      </c>
      <c r="BT4" s="98">
        <v>34.285714285714285</v>
      </c>
      <c r="BV4" s="98">
        <v>26.388888888888889</v>
      </c>
      <c r="BX4" s="98">
        <v>28.846153846153843</v>
      </c>
    </row>
    <row r="5" spans="2:78" ht="30" x14ac:dyDescent="0.25">
      <c r="B5" s="2"/>
      <c r="C5" s="2"/>
      <c r="D5" s="53"/>
      <c r="E5" s="83" t="s">
        <v>147</v>
      </c>
      <c r="F5" s="111" t="s">
        <v>44</v>
      </c>
      <c r="G5" s="67"/>
      <c r="H5" s="123"/>
      <c r="I5" s="67"/>
      <c r="J5" s="123"/>
      <c r="K5" s="67"/>
      <c r="L5" s="123"/>
      <c r="M5" s="67"/>
      <c r="N5" s="123"/>
      <c r="O5" s="67"/>
      <c r="P5" s="123"/>
      <c r="Q5" s="67"/>
      <c r="R5" s="123"/>
      <c r="S5" s="67"/>
      <c r="T5" s="123"/>
      <c r="U5" s="67"/>
      <c r="V5" s="123"/>
      <c r="W5" s="67"/>
      <c r="X5" s="123"/>
      <c r="Y5" s="67"/>
      <c r="Z5" s="123"/>
      <c r="AA5" s="67"/>
      <c r="AB5" s="123"/>
      <c r="AC5" s="67"/>
      <c r="AD5" s="123"/>
      <c r="AE5" s="67"/>
      <c r="AF5" s="123"/>
      <c r="AG5" s="67"/>
      <c r="AH5" s="123"/>
      <c r="AI5" s="67"/>
      <c r="AJ5" s="123"/>
      <c r="AK5" s="67"/>
      <c r="AL5" s="123"/>
      <c r="AM5" s="67"/>
      <c r="AN5" s="123"/>
      <c r="AO5" s="67"/>
      <c r="AP5" s="123"/>
      <c r="AQ5" s="13">
        <v>90.867116077200109</v>
      </c>
      <c r="AR5" s="123"/>
      <c r="AS5" s="67">
        <v>78.589420654911819</v>
      </c>
      <c r="AT5" s="123"/>
      <c r="AU5" s="67">
        <v>83.333333333333329</v>
      </c>
      <c r="AV5" s="123"/>
      <c r="AW5" s="99">
        <v>68.433179723502306</v>
      </c>
      <c r="AX5" s="123"/>
      <c r="AY5" s="99">
        <v>80.487804878048777</v>
      </c>
      <c r="AZ5" s="123"/>
      <c r="BA5" s="123"/>
      <c r="BB5" s="98">
        <v>75.233644859813097</v>
      </c>
      <c r="BC5" s="123"/>
      <c r="BD5" s="98">
        <v>72.062084257206209</v>
      </c>
      <c r="BE5" s="123"/>
      <c r="BF5" s="108">
        <v>68</v>
      </c>
      <c r="BH5" s="98">
        <v>75.273522975929978</v>
      </c>
      <c r="BJ5" s="98">
        <v>70.190274841437642</v>
      </c>
      <c r="BL5" s="98">
        <v>70.726495726495727</v>
      </c>
      <c r="BN5" s="98">
        <v>76.963350785340324</v>
      </c>
      <c r="BP5" s="98">
        <v>27.536231884057973</v>
      </c>
      <c r="BR5" s="98">
        <v>74</v>
      </c>
      <c r="BT5" s="98">
        <v>72.857142857142847</v>
      </c>
      <c r="BV5" s="98">
        <v>33.333333333333329</v>
      </c>
      <c r="BX5" s="98">
        <v>63.461538461538467</v>
      </c>
    </row>
    <row r="6" spans="2:78" ht="15" x14ac:dyDescent="0.25">
      <c r="B6" s="2"/>
      <c r="C6" s="2"/>
      <c r="D6" s="53"/>
      <c r="E6" s="83" t="s">
        <v>275</v>
      </c>
      <c r="F6" s="15" t="s">
        <v>216</v>
      </c>
      <c r="G6" s="67"/>
      <c r="H6" s="123"/>
      <c r="I6" s="67"/>
      <c r="J6" s="123"/>
      <c r="K6" s="67"/>
      <c r="L6" s="123"/>
      <c r="M6" s="67"/>
      <c r="N6" s="123"/>
      <c r="O6" s="67"/>
      <c r="P6" s="123"/>
      <c r="Q6" s="67"/>
      <c r="R6" s="123"/>
      <c r="S6" s="67"/>
      <c r="T6" s="123"/>
      <c r="U6" s="67"/>
      <c r="V6" s="123"/>
      <c r="W6" s="67"/>
      <c r="X6" s="123"/>
      <c r="Y6" s="67"/>
      <c r="Z6" s="123"/>
      <c r="AA6" s="67"/>
      <c r="AB6" s="123"/>
      <c r="AC6" s="67"/>
      <c r="AD6" s="123"/>
      <c r="AE6" s="67"/>
      <c r="AF6" s="123"/>
      <c r="AG6" s="67"/>
      <c r="AH6" s="123"/>
      <c r="AI6" s="67"/>
      <c r="AJ6" s="123"/>
      <c r="AK6" s="67"/>
      <c r="AL6" s="123"/>
      <c r="AM6" s="67"/>
      <c r="AN6" s="123"/>
      <c r="AO6" s="67"/>
      <c r="AP6" s="123"/>
      <c r="AQ6" s="13">
        <v>71.794871794871796</v>
      </c>
      <c r="AR6" s="123"/>
      <c r="AS6" s="67">
        <v>71.729438759671964</v>
      </c>
      <c r="AT6" s="123"/>
      <c r="AU6" s="67">
        <v>54.761904761904766</v>
      </c>
      <c r="AV6" s="123"/>
      <c r="AW6" s="99">
        <v>63.964864883334727</v>
      </c>
      <c r="AX6" s="123"/>
      <c r="AY6" s="99">
        <v>76.341463414634163</v>
      </c>
      <c r="AZ6" s="123"/>
      <c r="BA6" s="123"/>
      <c r="BB6" s="98">
        <v>67.757009345794401</v>
      </c>
      <c r="BC6" s="123"/>
      <c r="BD6" s="98">
        <v>81.374722838137487</v>
      </c>
      <c r="BE6" s="123"/>
      <c r="BF6" s="108">
        <v>77</v>
      </c>
      <c r="BH6" s="98">
        <v>82.713347921225377</v>
      </c>
      <c r="BJ6" s="98">
        <v>86.892177589852011</v>
      </c>
      <c r="BL6" s="98">
        <v>80.128205128205124</v>
      </c>
      <c r="BN6" s="98" t="s">
        <v>172</v>
      </c>
      <c r="BP6" s="98">
        <v>2.8985507246376812</v>
      </c>
      <c r="BR6" s="98">
        <v>2</v>
      </c>
      <c r="BT6" s="98">
        <v>1.4285714285714286</v>
      </c>
      <c r="BV6" s="98">
        <v>8.3333333333333321</v>
      </c>
      <c r="BX6" s="98">
        <v>9.6153846153846132</v>
      </c>
    </row>
    <row r="7" spans="2:78" ht="15" x14ac:dyDescent="0.25">
      <c r="B7" s="2"/>
      <c r="C7" s="2"/>
      <c r="D7" s="53"/>
      <c r="E7" s="83" t="s">
        <v>57</v>
      </c>
      <c r="F7" s="111" t="s">
        <v>4</v>
      </c>
      <c r="G7" s="67"/>
      <c r="H7" s="123"/>
      <c r="I7" s="67"/>
      <c r="J7" s="123"/>
      <c r="K7" s="67"/>
      <c r="L7" s="123"/>
      <c r="M7" s="67"/>
      <c r="N7" s="123"/>
      <c r="O7" s="67"/>
      <c r="P7" s="123"/>
      <c r="Q7" s="67"/>
      <c r="R7" s="123"/>
      <c r="S7" s="67"/>
      <c r="T7" s="123"/>
      <c r="U7" s="67"/>
      <c r="V7" s="123"/>
      <c r="W7" s="67"/>
      <c r="X7" s="123"/>
      <c r="Y7" s="67"/>
      <c r="Z7" s="123"/>
      <c r="AA7" s="67"/>
      <c r="AB7" s="123"/>
      <c r="AC7" s="67"/>
      <c r="AD7" s="123"/>
      <c r="AE7" s="67"/>
      <c r="AF7" s="123"/>
      <c r="AG7" s="67"/>
      <c r="AH7" s="123"/>
      <c r="AI7" s="67"/>
      <c r="AJ7" s="123"/>
      <c r="AK7" s="67"/>
      <c r="AL7" s="123"/>
      <c r="AM7" s="67"/>
      <c r="AN7" s="123"/>
      <c r="AO7" s="67"/>
      <c r="AP7" s="123"/>
      <c r="AQ7" s="13">
        <v>81.263274540585456</v>
      </c>
      <c r="AR7" s="123"/>
      <c r="AS7" s="67">
        <v>67.74933559148505</v>
      </c>
      <c r="AT7" s="123"/>
      <c r="AU7" s="67">
        <v>60.714285714285722</v>
      </c>
      <c r="AV7" s="123"/>
      <c r="AW7" s="99">
        <v>69.124423963133651</v>
      </c>
      <c r="AX7" s="123"/>
      <c r="AY7" s="99">
        <v>56.097560975609753</v>
      </c>
      <c r="AZ7" s="123"/>
      <c r="BA7" s="123"/>
      <c r="BB7" s="98">
        <v>58.177570093457952</v>
      </c>
      <c r="BC7" s="123"/>
      <c r="BD7" s="98">
        <v>64.745011086474506</v>
      </c>
      <c r="BE7" s="123"/>
      <c r="BF7" s="108">
        <v>72</v>
      </c>
      <c r="BH7" s="98">
        <v>69.36542669584243</v>
      </c>
      <c r="BJ7" s="98">
        <v>63.002114164904867</v>
      </c>
      <c r="BL7" s="98">
        <v>59.18803418803418</v>
      </c>
      <c r="BN7" s="98">
        <v>68.586387434554965</v>
      </c>
      <c r="BP7" s="98">
        <v>56.521739130434781</v>
      </c>
      <c r="BR7" s="98">
        <v>85</v>
      </c>
      <c r="BT7" s="98">
        <v>42.857142857142854</v>
      </c>
      <c r="BV7" s="98">
        <v>37.5</v>
      </c>
      <c r="BX7" s="98">
        <v>65.384615384615373</v>
      </c>
    </row>
    <row r="8" spans="2:78" ht="30" x14ac:dyDescent="0.25">
      <c r="B8" s="2"/>
      <c r="C8" s="2"/>
      <c r="D8" s="53"/>
      <c r="E8" s="83" t="s">
        <v>288</v>
      </c>
      <c r="F8" s="111" t="s">
        <v>43</v>
      </c>
      <c r="G8" s="67"/>
      <c r="H8" s="123"/>
      <c r="I8" s="67"/>
      <c r="J8" s="123"/>
      <c r="K8" s="67"/>
      <c r="L8" s="123"/>
      <c r="M8" s="67"/>
      <c r="N8" s="123"/>
      <c r="O8" s="67"/>
      <c r="P8" s="123"/>
      <c r="Q8" s="67"/>
      <c r="R8" s="123"/>
      <c r="S8" s="67"/>
      <c r="T8" s="123"/>
      <c r="U8" s="67"/>
      <c r="V8" s="123"/>
      <c r="W8" s="67"/>
      <c r="X8" s="123"/>
      <c r="Y8" s="67"/>
      <c r="Z8" s="123"/>
      <c r="AA8" s="67"/>
      <c r="AB8" s="123"/>
      <c r="AC8" s="67"/>
      <c r="AD8" s="123"/>
      <c r="AE8" s="67"/>
      <c r="AF8" s="123"/>
      <c r="AG8" s="67"/>
      <c r="AH8" s="123"/>
      <c r="AI8" s="67"/>
      <c r="AJ8" s="123"/>
      <c r="AK8" s="67"/>
      <c r="AL8" s="123"/>
      <c r="AM8" s="67"/>
      <c r="AN8" s="123"/>
      <c r="AO8" s="67"/>
      <c r="AP8" s="123"/>
      <c r="AQ8" s="13">
        <v>81.684981684981679</v>
      </c>
      <c r="AR8" s="123"/>
      <c r="AS8" s="67">
        <v>66.605907419695399</v>
      </c>
      <c r="AT8" s="123"/>
      <c r="AU8" s="67">
        <v>78.571428571428584</v>
      </c>
      <c r="AV8" s="123"/>
      <c r="AW8" s="99">
        <v>73.963133640552996</v>
      </c>
      <c r="AX8" s="123"/>
      <c r="AY8" s="99">
        <v>73.413583510879249</v>
      </c>
      <c r="AZ8" s="123"/>
      <c r="BA8" s="123"/>
      <c r="BB8" s="98">
        <v>70.794392523364493</v>
      </c>
      <c r="BC8" s="123"/>
      <c r="BD8" s="98">
        <v>61.419068736141902</v>
      </c>
      <c r="BE8" s="123"/>
      <c r="BF8" s="108">
        <v>64</v>
      </c>
      <c r="BH8" s="98">
        <v>59.08096280087527</v>
      </c>
      <c r="BJ8" s="98">
        <v>53.911205073995774</v>
      </c>
      <c r="BL8" s="98">
        <v>59.401709401709411</v>
      </c>
      <c r="BN8" s="98">
        <v>65.706806282722525</v>
      </c>
      <c r="BP8" s="98">
        <v>27.536231884057973</v>
      </c>
      <c r="BR8" s="98">
        <v>28</v>
      </c>
      <c r="BT8" s="98">
        <v>28.571428571428566</v>
      </c>
      <c r="BV8" s="98">
        <v>31.944444444444446</v>
      </c>
      <c r="BX8" s="98">
        <v>53.846153846153847</v>
      </c>
    </row>
    <row r="9" spans="2:78" ht="15" x14ac:dyDescent="0.25">
      <c r="B9" s="2"/>
      <c r="C9" s="2"/>
      <c r="D9" s="53"/>
      <c r="E9" s="83" t="s">
        <v>289</v>
      </c>
      <c r="F9" s="111" t="s">
        <v>41</v>
      </c>
      <c r="G9" s="67"/>
      <c r="H9" s="123"/>
      <c r="I9" s="67"/>
      <c r="J9" s="123"/>
      <c r="K9" s="67"/>
      <c r="L9" s="123"/>
      <c r="M9" s="67"/>
      <c r="N9" s="123"/>
      <c r="O9" s="67"/>
      <c r="P9" s="123"/>
      <c r="Q9" s="67"/>
      <c r="R9" s="123"/>
      <c r="S9" s="67"/>
      <c r="T9" s="123"/>
      <c r="U9" s="67"/>
      <c r="V9" s="123"/>
      <c r="W9" s="67"/>
      <c r="X9" s="123"/>
      <c r="Y9" s="67"/>
      <c r="Z9" s="123"/>
      <c r="AA9" s="67"/>
      <c r="AB9" s="123"/>
      <c r="AC9" s="67"/>
      <c r="AD9" s="123"/>
      <c r="AE9" s="67"/>
      <c r="AF9" s="123"/>
      <c r="AG9" s="67"/>
      <c r="AH9" s="123"/>
      <c r="AI9" s="67"/>
      <c r="AJ9" s="123"/>
      <c r="AK9" s="67"/>
      <c r="AL9" s="123"/>
      <c r="AM9" s="67"/>
      <c r="AN9" s="123"/>
      <c r="AO9" s="67"/>
      <c r="AP9" s="123"/>
      <c r="AQ9" s="13">
        <v>39.892880229014679</v>
      </c>
      <c r="AR9" s="123"/>
      <c r="AS9" s="67">
        <v>60.970022945721183</v>
      </c>
      <c r="AT9" s="123"/>
      <c r="AU9" s="67">
        <v>57.142857142857153</v>
      </c>
      <c r="AV9" s="123"/>
      <c r="AW9" s="99">
        <v>83.870967741935502</v>
      </c>
      <c r="AX9" s="123"/>
      <c r="AY9" s="99">
        <v>98.292682926829272</v>
      </c>
      <c r="AZ9" s="123"/>
      <c r="BA9" s="123"/>
      <c r="BB9" s="98">
        <v>96.261682242990688</v>
      </c>
      <c r="BC9" s="123"/>
      <c r="BD9" s="98">
        <v>100</v>
      </c>
      <c r="BE9" s="123"/>
      <c r="BF9" s="108">
        <v>100</v>
      </c>
      <c r="BH9" s="98">
        <v>100</v>
      </c>
      <c r="BJ9" s="98">
        <v>100</v>
      </c>
      <c r="BL9" s="98">
        <v>100</v>
      </c>
      <c r="BN9" s="98">
        <v>100</v>
      </c>
      <c r="BP9" s="98">
        <v>100</v>
      </c>
      <c r="BR9" s="98">
        <v>100</v>
      </c>
      <c r="BT9" s="98">
        <v>100</v>
      </c>
      <c r="BV9" s="98">
        <v>100</v>
      </c>
      <c r="BX9" s="98">
        <v>98.076923076923066</v>
      </c>
    </row>
    <row r="10" spans="2:78" ht="15" x14ac:dyDescent="0.25">
      <c r="B10" s="2"/>
      <c r="C10" s="2"/>
      <c r="D10" s="53"/>
      <c r="E10" s="83" t="s">
        <v>68</v>
      </c>
      <c r="F10" s="15" t="s">
        <v>46</v>
      </c>
      <c r="G10" s="67"/>
      <c r="H10" s="123"/>
      <c r="I10" s="67"/>
      <c r="J10" s="123"/>
      <c r="K10" s="67"/>
      <c r="L10" s="123"/>
      <c r="M10" s="67"/>
      <c r="N10" s="123"/>
      <c r="O10" s="67"/>
      <c r="P10" s="123"/>
      <c r="Q10" s="67"/>
      <c r="R10" s="123"/>
      <c r="S10" s="67"/>
      <c r="T10" s="123"/>
      <c r="U10" s="67"/>
      <c r="V10" s="123"/>
      <c r="W10" s="67"/>
      <c r="X10" s="123"/>
      <c r="Y10" s="67"/>
      <c r="Z10" s="123"/>
      <c r="AA10" s="67"/>
      <c r="AB10" s="123"/>
      <c r="AC10" s="67"/>
      <c r="AD10" s="123"/>
      <c r="AE10" s="67"/>
      <c r="AF10" s="123"/>
      <c r="AG10" s="67"/>
      <c r="AH10" s="123"/>
      <c r="AI10" s="67"/>
      <c r="AJ10" s="123"/>
      <c r="AK10" s="67"/>
      <c r="AL10" s="123"/>
      <c r="AM10" s="67"/>
      <c r="AN10" s="123"/>
      <c r="AO10" s="67"/>
      <c r="AP10" s="123"/>
      <c r="AQ10" s="13">
        <v>82.783882783882788</v>
      </c>
      <c r="AR10" s="123"/>
      <c r="AS10" s="67">
        <v>53.938894105528469</v>
      </c>
      <c r="AT10" s="123"/>
      <c r="AU10" s="67">
        <v>30.952380952380953</v>
      </c>
      <c r="AV10" s="123"/>
      <c r="AW10" s="99">
        <v>38.479262672811053</v>
      </c>
      <c r="AX10" s="123"/>
      <c r="AY10" s="99">
        <v>27.560975609756095</v>
      </c>
      <c r="AZ10" s="123"/>
      <c r="BA10" s="123"/>
      <c r="BB10" s="98">
        <v>16.822429906542059</v>
      </c>
      <c r="BC10" s="123"/>
      <c r="BD10" s="98">
        <v>44.789356984478943</v>
      </c>
      <c r="BE10" s="123"/>
      <c r="BF10" s="108">
        <v>40</v>
      </c>
      <c r="BH10" s="98">
        <v>49.23413566739606</v>
      </c>
      <c r="BJ10" s="98">
        <v>42.283298097251588</v>
      </c>
      <c r="BL10" s="98">
        <v>41.239316239316246</v>
      </c>
      <c r="BN10" s="98" t="s">
        <v>172</v>
      </c>
      <c r="BP10" s="98">
        <v>55.072463768115945</v>
      </c>
      <c r="BR10" s="98">
        <v>37</v>
      </c>
      <c r="BT10" s="98">
        <v>38.571428571428569</v>
      </c>
      <c r="BV10" s="98">
        <v>19.444444444444446</v>
      </c>
      <c r="BX10" s="98">
        <v>19.230769230769226</v>
      </c>
    </row>
    <row r="11" spans="2:78" ht="15" x14ac:dyDescent="0.25">
      <c r="B11" s="2"/>
      <c r="C11" s="2"/>
      <c r="D11" s="53"/>
      <c r="E11" s="83" t="s">
        <v>290</v>
      </c>
      <c r="F11" s="111" t="s">
        <v>276</v>
      </c>
      <c r="G11" s="67"/>
      <c r="H11" s="123"/>
      <c r="I11" s="67"/>
      <c r="J11" s="123"/>
      <c r="K11" s="67"/>
      <c r="L11" s="123"/>
      <c r="M11" s="67"/>
      <c r="N11" s="123"/>
      <c r="O11" s="67"/>
      <c r="P11" s="123"/>
      <c r="Q11" s="67"/>
      <c r="R11" s="123"/>
      <c r="S11" s="67"/>
      <c r="T11" s="123"/>
      <c r="U11" s="67"/>
      <c r="V11" s="123"/>
      <c r="W11" s="67"/>
      <c r="X11" s="123"/>
      <c r="Y11" s="67"/>
      <c r="Z11" s="123"/>
      <c r="AA11" s="67"/>
      <c r="AB11" s="123"/>
      <c r="AC11" s="67"/>
      <c r="AD11" s="123"/>
      <c r="AE11" s="67"/>
      <c r="AF11" s="123"/>
      <c r="AG11" s="67"/>
      <c r="AH11" s="123"/>
      <c r="AI11" s="67"/>
      <c r="AJ11" s="123"/>
      <c r="AK11" s="67"/>
      <c r="AL11" s="123"/>
      <c r="AM11" s="67"/>
      <c r="AN11" s="123"/>
      <c r="AO11" s="67"/>
      <c r="AP11" s="123"/>
      <c r="AQ11" s="13">
        <v>69.230769230769226</v>
      </c>
      <c r="AR11" s="123"/>
      <c r="AS11" s="67">
        <v>52.141057934508815</v>
      </c>
      <c r="AT11" s="123"/>
      <c r="AU11" s="67">
        <v>16.666666666666668</v>
      </c>
      <c r="AV11" s="123"/>
      <c r="AW11" s="99">
        <v>33.410138248847929</v>
      </c>
      <c r="AX11" s="123"/>
      <c r="AY11" s="99">
        <v>26.585365853658534</v>
      </c>
      <c r="AZ11" s="123"/>
      <c r="BA11" s="123"/>
      <c r="BB11" s="98">
        <v>24.766355140186921</v>
      </c>
      <c r="BC11" s="123"/>
      <c r="BD11" s="98">
        <v>45.011086474501113</v>
      </c>
      <c r="BE11" s="123"/>
      <c r="BF11" s="108">
        <v>43</v>
      </c>
      <c r="BH11" s="98">
        <v>49.23413566739606</v>
      </c>
      <c r="BJ11" s="98">
        <v>43.551797040169134</v>
      </c>
      <c r="BL11" s="98">
        <v>50.427350427350426</v>
      </c>
      <c r="BN11" s="98">
        <v>55.49738219895287</v>
      </c>
      <c r="BP11" s="98">
        <v>53.623188405797109</v>
      </c>
      <c r="BR11" s="98">
        <v>93</v>
      </c>
      <c r="BT11" s="98">
        <v>50</v>
      </c>
      <c r="BV11" s="98">
        <v>86.111111111111114</v>
      </c>
      <c r="BX11" s="98">
        <v>100</v>
      </c>
    </row>
    <row r="12" spans="2:78" ht="15" x14ac:dyDescent="0.25">
      <c r="B12" s="2"/>
      <c r="C12" s="2"/>
      <c r="D12" s="53"/>
      <c r="E12" s="83" t="s">
        <v>265</v>
      </c>
      <c r="F12" s="111" t="s">
        <v>7</v>
      </c>
      <c r="G12" s="67"/>
      <c r="H12" s="123"/>
      <c r="I12" s="67"/>
      <c r="J12" s="123"/>
      <c r="K12" s="67"/>
      <c r="L12" s="123"/>
      <c r="M12" s="67"/>
      <c r="N12" s="123"/>
      <c r="O12" s="67"/>
      <c r="P12" s="123"/>
      <c r="Q12" s="67"/>
      <c r="R12" s="123"/>
      <c r="S12" s="67"/>
      <c r="T12" s="123"/>
      <c r="U12" s="67"/>
      <c r="V12" s="123"/>
      <c r="W12" s="67"/>
      <c r="X12" s="123"/>
      <c r="Y12" s="67"/>
      <c r="Z12" s="123"/>
      <c r="AA12" s="67"/>
      <c r="AB12" s="123"/>
      <c r="AC12" s="67"/>
      <c r="AD12" s="123"/>
      <c r="AE12" s="67"/>
      <c r="AF12" s="123"/>
      <c r="AG12" s="67"/>
      <c r="AH12" s="123"/>
      <c r="AI12" s="67"/>
      <c r="AJ12" s="123"/>
      <c r="AK12" s="67"/>
      <c r="AL12" s="123"/>
      <c r="AM12" s="67"/>
      <c r="AN12" s="123"/>
      <c r="AO12" s="67"/>
      <c r="AP12" s="123"/>
      <c r="AQ12" s="13">
        <v>49.284049284049281</v>
      </c>
      <c r="AR12" s="123"/>
      <c r="AS12" s="67">
        <v>52.075976113289691</v>
      </c>
      <c r="AT12" s="123"/>
      <c r="AU12" s="67">
        <v>89.410640799529688</v>
      </c>
      <c r="AV12" s="123"/>
      <c r="AW12" s="99">
        <v>85.055443548387103</v>
      </c>
      <c r="AX12" s="123"/>
      <c r="AY12" s="99">
        <v>75.67056279981081</v>
      </c>
      <c r="AZ12" s="123"/>
      <c r="BA12" s="123"/>
      <c r="BB12" s="98">
        <v>22.897196261682243</v>
      </c>
      <c r="BC12" s="123"/>
      <c r="BD12" s="98">
        <v>39.467849223946786</v>
      </c>
      <c r="BE12" s="123"/>
      <c r="BF12" s="108">
        <v>31</v>
      </c>
      <c r="BH12" s="98">
        <v>32.385120350109403</v>
      </c>
      <c r="BJ12" s="98">
        <v>33.403805496828745</v>
      </c>
      <c r="BL12" s="98">
        <v>22.008547008547009</v>
      </c>
      <c r="BN12" s="98">
        <v>27.486910994764397</v>
      </c>
      <c r="BP12" s="98">
        <v>10</v>
      </c>
      <c r="BR12" s="98">
        <v>20</v>
      </c>
      <c r="BT12" s="98">
        <v>10</v>
      </c>
      <c r="BV12" s="98">
        <v>16.666666666666664</v>
      </c>
      <c r="BX12" s="98">
        <v>23.076923076923077</v>
      </c>
    </row>
    <row r="13" spans="2:78" ht="15" x14ac:dyDescent="0.25">
      <c r="B13" s="2"/>
      <c r="C13" s="2"/>
      <c r="D13" s="53"/>
      <c r="E13" s="83" t="s">
        <v>291</v>
      </c>
      <c r="F13" s="111" t="s">
        <v>42</v>
      </c>
      <c r="G13" s="67"/>
      <c r="H13" s="123"/>
      <c r="I13" s="67"/>
      <c r="J13" s="123"/>
      <c r="K13" s="67"/>
      <c r="L13" s="123"/>
      <c r="M13" s="67"/>
      <c r="N13" s="123"/>
      <c r="O13" s="67"/>
      <c r="P13" s="123"/>
      <c r="Q13" s="67"/>
      <c r="R13" s="123"/>
      <c r="S13" s="67"/>
      <c r="T13" s="123"/>
      <c r="U13" s="67"/>
      <c r="V13" s="123"/>
      <c r="W13" s="67"/>
      <c r="X13" s="123"/>
      <c r="Y13" s="67"/>
      <c r="Z13" s="123"/>
      <c r="AA13" s="67"/>
      <c r="AB13" s="123"/>
      <c r="AC13" s="67"/>
      <c r="AD13" s="123"/>
      <c r="AE13" s="67"/>
      <c r="AF13" s="123"/>
      <c r="AG13" s="67"/>
      <c r="AH13" s="123"/>
      <c r="AI13" s="67"/>
      <c r="AJ13" s="123"/>
      <c r="AK13" s="67"/>
      <c r="AL13" s="123"/>
      <c r="AM13" s="67"/>
      <c r="AN13" s="123"/>
      <c r="AO13" s="67"/>
      <c r="AP13" s="123"/>
      <c r="AQ13" s="13">
        <v>52.896256286086796</v>
      </c>
      <c r="AR13" s="123"/>
      <c r="AS13" s="67">
        <v>47.858942065491185</v>
      </c>
      <c r="AT13" s="123"/>
      <c r="AU13" s="67">
        <v>29.761904761904763</v>
      </c>
      <c r="AV13" s="123"/>
      <c r="AW13" s="99">
        <v>35.253456221198157</v>
      </c>
      <c r="AX13" s="123"/>
      <c r="AY13" s="99">
        <v>30.73170731707317</v>
      </c>
      <c r="AZ13" s="123"/>
      <c r="BA13" s="123"/>
      <c r="BB13" s="98">
        <v>29.672897196261687</v>
      </c>
      <c r="BC13" s="123"/>
      <c r="BD13" s="98">
        <v>31.042128603104214</v>
      </c>
      <c r="BE13" s="123"/>
      <c r="BF13" s="108">
        <v>41</v>
      </c>
      <c r="BH13" s="98">
        <v>47.483588621444198</v>
      </c>
      <c r="BJ13" s="98">
        <v>40.803382663847785</v>
      </c>
      <c r="BL13" s="98">
        <v>49.145299145299148</v>
      </c>
      <c r="BN13" s="98">
        <v>40.31413612565445</v>
      </c>
      <c r="BP13" s="98">
        <v>14</v>
      </c>
      <c r="BR13" s="98">
        <v>28</v>
      </c>
      <c r="BT13" s="98">
        <v>18.571428571428573</v>
      </c>
      <c r="BV13" s="98">
        <v>22.222222222222225</v>
      </c>
      <c r="BX13" s="98">
        <v>34.615384615384613</v>
      </c>
    </row>
    <row r="14" spans="2:78" ht="15" x14ac:dyDescent="0.25">
      <c r="B14" s="2"/>
      <c r="C14" s="2"/>
      <c r="D14" s="53"/>
      <c r="E14" s="83" t="s">
        <v>292</v>
      </c>
      <c r="F14" s="20" t="s">
        <v>233</v>
      </c>
      <c r="G14" s="67"/>
      <c r="H14" s="123"/>
      <c r="I14" s="67"/>
      <c r="J14" s="123"/>
      <c r="K14" s="67"/>
      <c r="L14" s="123"/>
      <c r="M14" s="67"/>
      <c r="N14" s="123"/>
      <c r="O14" s="67"/>
      <c r="P14" s="123"/>
      <c r="Q14" s="67"/>
      <c r="R14" s="123"/>
      <c r="S14" s="67"/>
      <c r="T14" s="123"/>
      <c r="U14" s="67"/>
      <c r="V14" s="123"/>
      <c r="W14" s="67"/>
      <c r="X14" s="123"/>
      <c r="Y14" s="67"/>
      <c r="Z14" s="123"/>
      <c r="AA14" s="67"/>
      <c r="AB14" s="123"/>
      <c r="AC14" s="67"/>
      <c r="AD14" s="123"/>
      <c r="AE14" s="67"/>
      <c r="AF14" s="123"/>
      <c r="AG14" s="67"/>
      <c r="AH14" s="123"/>
      <c r="AI14" s="67"/>
      <c r="AJ14" s="123"/>
      <c r="AK14" s="67"/>
      <c r="AL14" s="123"/>
      <c r="AM14" s="67"/>
      <c r="AN14" s="123"/>
      <c r="AO14" s="67"/>
      <c r="AP14" s="123"/>
      <c r="AQ14" s="13">
        <v>37.307230584541514</v>
      </c>
      <c r="AR14" s="123"/>
      <c r="AS14" s="67">
        <v>33.302953709847699</v>
      </c>
      <c r="AT14" s="123"/>
      <c r="AU14" s="67">
        <v>21.428571428571423</v>
      </c>
      <c r="AV14" s="123"/>
      <c r="AW14" s="99">
        <v>27.188940092165904</v>
      </c>
      <c r="AX14" s="123"/>
      <c r="AY14" s="99">
        <v>23.809810868393271</v>
      </c>
      <c r="AZ14" s="123"/>
      <c r="BA14" s="123"/>
      <c r="BB14" s="98">
        <v>20.32710280373832</v>
      </c>
      <c r="BC14" s="123"/>
      <c r="BD14" s="98">
        <v>30.155210643015522</v>
      </c>
      <c r="BE14" s="123"/>
      <c r="BF14" s="108">
        <v>27</v>
      </c>
      <c r="BH14" s="98">
        <v>19.693654266958426</v>
      </c>
      <c r="BJ14" s="98">
        <v>17.54756871035941</v>
      </c>
      <c r="BL14" s="98">
        <v>16.452991452991451</v>
      </c>
      <c r="BN14" s="98">
        <v>24.869109947643974</v>
      </c>
      <c r="BP14" s="98">
        <v>1</v>
      </c>
      <c r="BR14" s="98">
        <v>2</v>
      </c>
      <c r="BT14" s="98">
        <v>4.2857142857142856</v>
      </c>
      <c r="BV14" s="98">
        <v>11.111111111111112</v>
      </c>
      <c r="BX14" s="98">
        <v>21.15384615384615</v>
      </c>
    </row>
    <row r="15" spans="2:78" ht="15" x14ac:dyDescent="0.25">
      <c r="B15" s="2"/>
      <c r="C15" s="2"/>
      <c r="D15" s="53"/>
      <c r="E15" s="83" t="s">
        <v>293</v>
      </c>
      <c r="F15" s="17" t="s">
        <v>234</v>
      </c>
      <c r="G15" s="68"/>
      <c r="H15" s="123"/>
      <c r="I15" s="68"/>
      <c r="J15" s="123"/>
      <c r="K15" s="68"/>
      <c r="L15" s="123"/>
      <c r="M15" s="68"/>
      <c r="N15" s="123"/>
      <c r="O15" s="68"/>
      <c r="P15" s="123"/>
      <c r="Q15" s="68"/>
      <c r="R15" s="123"/>
      <c r="S15" s="68"/>
      <c r="T15" s="123"/>
      <c r="U15" s="68"/>
      <c r="V15" s="123"/>
      <c r="W15" s="68"/>
      <c r="X15" s="123"/>
      <c r="Y15" s="68"/>
      <c r="Z15" s="123"/>
      <c r="AA15" s="68"/>
      <c r="AB15" s="123"/>
      <c r="AC15" s="68"/>
      <c r="AD15" s="123"/>
      <c r="AE15" s="68"/>
      <c r="AF15" s="123"/>
      <c r="AG15" s="68"/>
      <c r="AH15" s="123"/>
      <c r="AI15" s="68"/>
      <c r="AJ15" s="123"/>
      <c r="AK15" s="68"/>
      <c r="AL15" s="123"/>
      <c r="AM15" s="69"/>
      <c r="AN15" s="123"/>
      <c r="AO15" s="69"/>
      <c r="AP15" s="123"/>
      <c r="AQ15" s="13">
        <v>28.419856006062901</v>
      </c>
      <c r="AR15" s="123"/>
      <c r="AS15" s="68">
        <v>29.424589744127321</v>
      </c>
      <c r="AT15" s="123"/>
      <c r="AU15" s="68">
        <v>16.915092483274304</v>
      </c>
      <c r="AV15" s="123"/>
      <c r="AW15" s="99">
        <v>44.560530701887934</v>
      </c>
      <c r="AX15" s="123"/>
      <c r="AY15" s="99">
        <v>45.88348969429952</v>
      </c>
      <c r="AZ15" s="123"/>
      <c r="BA15" s="123"/>
      <c r="BB15" s="98">
        <v>48.130841121495344</v>
      </c>
      <c r="BC15" s="123"/>
      <c r="BD15" s="98">
        <v>46.119733924611978</v>
      </c>
      <c r="BE15" s="123"/>
      <c r="BF15" s="108">
        <v>64</v>
      </c>
      <c r="BH15" s="98">
        <v>43.544857768052509</v>
      </c>
      <c r="BJ15" s="98">
        <v>52.43128964059197</v>
      </c>
      <c r="BL15" s="98">
        <v>51.709401709401718</v>
      </c>
      <c r="BN15" s="98">
        <v>58.376963350785346</v>
      </c>
      <c r="BP15" s="98">
        <v>23</v>
      </c>
      <c r="BR15" s="98">
        <v>0</v>
      </c>
      <c r="BT15" s="98">
        <v>2.8571428571428572</v>
      </c>
      <c r="BV15" s="98">
        <v>0</v>
      </c>
      <c r="BX15" s="98">
        <v>3.8461538461538463</v>
      </c>
    </row>
    <row r="16" spans="2:78" ht="15" x14ac:dyDescent="0.25">
      <c r="B16" s="2"/>
      <c r="C16" s="2"/>
      <c r="D16" s="57"/>
      <c r="E16" s="83" t="s">
        <v>294</v>
      </c>
      <c r="F16" s="111" t="s">
        <v>277</v>
      </c>
      <c r="G16" s="71"/>
      <c r="H16" s="123"/>
      <c r="I16" s="71"/>
      <c r="J16" s="123"/>
      <c r="K16" s="71"/>
      <c r="L16" s="123"/>
      <c r="M16" s="71"/>
      <c r="N16" s="123"/>
      <c r="O16" s="71"/>
      <c r="P16" s="123"/>
      <c r="Q16" s="71"/>
      <c r="R16" s="123"/>
      <c r="S16" s="71"/>
      <c r="T16" s="123"/>
      <c r="U16" s="71"/>
      <c r="V16" s="123"/>
      <c r="W16" s="71"/>
      <c r="X16" s="123"/>
      <c r="Y16" s="71"/>
      <c r="Z16" s="123"/>
      <c r="AA16" s="71"/>
      <c r="AB16" s="123"/>
      <c r="AC16" s="71"/>
      <c r="AD16" s="123"/>
      <c r="AE16" s="71"/>
      <c r="AF16" s="123"/>
      <c r="AG16" s="71"/>
      <c r="AH16" s="123"/>
      <c r="AI16" s="71"/>
      <c r="AJ16" s="123"/>
      <c r="AK16" s="71"/>
      <c r="AL16" s="123"/>
      <c r="AM16" s="69"/>
      <c r="AN16" s="123"/>
      <c r="AO16" s="68"/>
      <c r="AP16" s="123"/>
      <c r="AQ16" s="13">
        <v>22.532089758980511</v>
      </c>
      <c r="AR16" s="123"/>
      <c r="AS16" s="71">
        <v>17.420006555920338</v>
      </c>
      <c r="AT16" s="123"/>
      <c r="AU16" s="71">
        <v>9.5238095238095255</v>
      </c>
      <c r="AV16" s="123"/>
      <c r="AW16" s="99">
        <v>14.995426199756128</v>
      </c>
      <c r="AX16" s="123"/>
      <c r="AY16" s="99">
        <v>14.38509406632093</v>
      </c>
      <c r="AZ16" s="123"/>
      <c r="BA16" s="123"/>
      <c r="BB16" s="98">
        <v>13.317757009345796</v>
      </c>
      <c r="BC16" s="123"/>
      <c r="BD16" s="98">
        <v>18.403547671840357</v>
      </c>
      <c r="BE16" s="123"/>
      <c r="BF16" s="108">
        <v>18</v>
      </c>
      <c r="BH16" s="98">
        <v>19.474835886214443</v>
      </c>
      <c r="BJ16" s="98">
        <v>21.141649048625794</v>
      </c>
      <c r="BL16" s="98">
        <v>23.504273504273502</v>
      </c>
      <c r="BN16" s="98">
        <v>26.701570680628272</v>
      </c>
      <c r="BP16" s="98">
        <v>9</v>
      </c>
      <c r="BR16" s="98">
        <v>20</v>
      </c>
      <c r="BT16" s="98">
        <v>10</v>
      </c>
      <c r="BV16" s="98">
        <v>18.055555555555554</v>
      </c>
      <c r="BX16" s="98">
        <v>13.461538461538462</v>
      </c>
    </row>
    <row r="17" spans="1:79" ht="15.75" thickBot="1" x14ac:dyDescent="0.3">
      <c r="B17" s="2"/>
      <c r="C17" s="2"/>
      <c r="D17" s="53"/>
      <c r="E17" s="83" t="s">
        <v>295</v>
      </c>
      <c r="F17" s="111" t="s">
        <v>53</v>
      </c>
      <c r="G17" s="67"/>
      <c r="H17" s="123"/>
      <c r="I17" s="67"/>
      <c r="J17" s="123"/>
      <c r="K17" s="67"/>
      <c r="L17" s="123"/>
      <c r="M17" s="67"/>
      <c r="N17" s="123"/>
      <c r="O17" s="67"/>
      <c r="P17" s="123"/>
      <c r="Q17" s="67"/>
      <c r="R17" s="123"/>
      <c r="S17" s="67"/>
      <c r="T17" s="123"/>
      <c r="U17" s="67"/>
      <c r="V17" s="123"/>
      <c r="W17" s="67"/>
      <c r="X17" s="123"/>
      <c r="Y17" s="67"/>
      <c r="Z17" s="123"/>
      <c r="AA17" s="67"/>
      <c r="AB17" s="123"/>
      <c r="AC17" s="67"/>
      <c r="AD17" s="123"/>
      <c r="AE17" s="67"/>
      <c r="AF17" s="123"/>
      <c r="AG17" s="67"/>
      <c r="AH17" s="123"/>
      <c r="AI17" s="67"/>
      <c r="AJ17" s="123"/>
      <c r="AK17" s="67"/>
      <c r="AL17" s="123"/>
      <c r="AM17" s="67"/>
      <c r="AN17" s="123"/>
      <c r="AO17" s="67"/>
      <c r="AP17" s="123"/>
      <c r="AQ17" s="26" t="s">
        <v>38</v>
      </c>
      <c r="AR17" s="123"/>
      <c r="AS17" s="67">
        <v>10.403757346767422</v>
      </c>
      <c r="AT17" s="123"/>
      <c r="AU17" s="67">
        <v>14.285714285714285</v>
      </c>
      <c r="AV17" s="123"/>
      <c r="AW17" s="99">
        <v>22.119815668202765</v>
      </c>
      <c r="AX17" s="123"/>
      <c r="AY17" s="99">
        <v>14.390243902439023</v>
      </c>
      <c r="AZ17" s="123"/>
      <c r="BA17" s="123"/>
      <c r="BB17" s="98">
        <v>9.3457943925233646</v>
      </c>
      <c r="BC17" s="123"/>
      <c r="BD17" s="98">
        <v>6.2084257206208431</v>
      </c>
      <c r="BE17" s="123"/>
      <c r="BF17" s="108">
        <v>13</v>
      </c>
      <c r="BH17" s="98">
        <v>18.380743982494529</v>
      </c>
      <c r="BJ17" s="98">
        <v>7.6109936575052854</v>
      </c>
      <c r="BL17" s="98">
        <v>10.042735042735043</v>
      </c>
      <c r="BN17" s="98">
        <v>9.6858638743455518</v>
      </c>
      <c r="BP17" s="98">
        <v>16</v>
      </c>
      <c r="BR17" s="98">
        <v>28</v>
      </c>
      <c r="BT17" s="98">
        <v>27.142857142857142</v>
      </c>
      <c r="BV17" s="98">
        <v>23.611111111111111</v>
      </c>
      <c r="BX17" s="98">
        <v>40.38461538461538</v>
      </c>
    </row>
    <row r="18" spans="1:79" ht="30" x14ac:dyDescent="0.25">
      <c r="B18" s="2"/>
      <c r="C18" s="2"/>
      <c r="D18" s="53"/>
      <c r="E18" s="83" t="s">
        <v>296</v>
      </c>
      <c r="F18" s="110" t="s">
        <v>238</v>
      </c>
      <c r="G18" s="67"/>
      <c r="H18" s="123"/>
      <c r="I18" s="67"/>
      <c r="J18" s="123"/>
      <c r="K18" s="67"/>
      <c r="L18" s="123"/>
      <c r="M18" s="67"/>
      <c r="N18" s="123"/>
      <c r="O18" s="67"/>
      <c r="P18" s="123"/>
      <c r="Q18" s="67"/>
      <c r="R18" s="123"/>
      <c r="S18" s="67"/>
      <c r="T18" s="123"/>
      <c r="U18" s="67"/>
      <c r="V18" s="123"/>
      <c r="W18" s="67"/>
      <c r="X18" s="123"/>
      <c r="Y18" s="67"/>
      <c r="Z18" s="123"/>
      <c r="AA18" s="67"/>
      <c r="AB18" s="123"/>
      <c r="AC18" s="67"/>
      <c r="AD18" s="123"/>
      <c r="AE18" s="67"/>
      <c r="AF18" s="123"/>
      <c r="AG18" s="67"/>
      <c r="AH18" s="123"/>
      <c r="AI18" s="67"/>
      <c r="AJ18" s="123"/>
      <c r="AK18" s="67"/>
      <c r="AL18" s="123"/>
      <c r="AM18" s="67"/>
      <c r="AN18" s="123"/>
      <c r="AO18" s="67"/>
      <c r="AP18" s="123"/>
      <c r="AQ18" s="68"/>
      <c r="AR18" s="123"/>
      <c r="AS18" s="67"/>
      <c r="AT18" s="123"/>
      <c r="AU18" s="13"/>
      <c r="AV18" s="123"/>
      <c r="AW18" s="13"/>
      <c r="AX18" s="123"/>
      <c r="AY18" s="13"/>
      <c r="AZ18" s="123"/>
      <c r="BA18" s="123"/>
      <c r="BB18" s="99"/>
      <c r="BC18" s="123"/>
      <c r="BD18" s="67"/>
      <c r="BE18" s="123"/>
      <c r="BN18" s="98" t="s">
        <v>172</v>
      </c>
      <c r="BP18" s="98">
        <v>15</v>
      </c>
      <c r="BR18" s="98">
        <v>13</v>
      </c>
      <c r="BT18" s="98">
        <v>11.428571428571429</v>
      </c>
      <c r="BV18" s="98">
        <v>5.5555555555555562</v>
      </c>
      <c r="BX18" s="98">
        <v>32.692307692307686</v>
      </c>
    </row>
    <row r="19" spans="1:79" ht="15" x14ac:dyDescent="0.2">
      <c r="B19" s="2"/>
      <c r="C19" s="2"/>
      <c r="D19" s="53"/>
      <c r="E19" s="46" t="s">
        <v>297</v>
      </c>
      <c r="F19" s="110" t="s">
        <v>235</v>
      </c>
      <c r="G19" s="67"/>
      <c r="H19" s="123"/>
      <c r="I19" s="67"/>
      <c r="J19" s="123"/>
      <c r="K19" s="67"/>
      <c r="L19" s="123"/>
      <c r="M19" s="67"/>
      <c r="N19" s="123"/>
      <c r="O19" s="67"/>
      <c r="P19" s="123"/>
      <c r="Q19" s="67"/>
      <c r="R19" s="123"/>
      <c r="S19" s="67"/>
      <c r="T19" s="123"/>
      <c r="U19" s="67"/>
      <c r="V19" s="123"/>
      <c r="W19" s="67"/>
      <c r="X19" s="123"/>
      <c r="Y19" s="67"/>
      <c r="Z19" s="123"/>
      <c r="AA19" s="67"/>
      <c r="AB19" s="123"/>
      <c r="AC19" s="67"/>
      <c r="AD19" s="123"/>
      <c r="AE19" s="67"/>
      <c r="AF19" s="123"/>
      <c r="AG19" s="67"/>
      <c r="AH19" s="123"/>
      <c r="AI19" s="67"/>
      <c r="AJ19" s="123"/>
      <c r="AK19" s="67"/>
      <c r="AL19" s="123"/>
      <c r="AM19" s="67"/>
      <c r="AN19" s="123"/>
      <c r="AO19" s="67"/>
      <c r="AP19" s="123"/>
      <c r="AQ19" s="68"/>
      <c r="AR19" s="123"/>
      <c r="AS19" s="67"/>
      <c r="AT19" s="123"/>
      <c r="AU19" s="67"/>
      <c r="AV19" s="123"/>
      <c r="AW19" s="67"/>
      <c r="AX19" s="123"/>
      <c r="AY19" s="67"/>
      <c r="AZ19" s="123"/>
      <c r="BA19" s="123"/>
      <c r="BB19" s="67"/>
      <c r="BC19" s="123"/>
      <c r="BD19" s="67"/>
      <c r="BE19" s="123"/>
      <c r="BN19" s="98" t="s">
        <v>172</v>
      </c>
      <c r="BP19" s="98">
        <v>3</v>
      </c>
      <c r="BR19" s="98">
        <v>0</v>
      </c>
      <c r="BT19" s="98">
        <v>1.4285714285714286</v>
      </c>
      <c r="BV19" s="98">
        <v>0</v>
      </c>
      <c r="BX19" s="98">
        <v>0</v>
      </c>
    </row>
    <row r="20" spans="1:79" ht="15" x14ac:dyDescent="0.2">
      <c r="B20" s="2"/>
      <c r="C20" s="2"/>
      <c r="D20" s="53"/>
      <c r="E20" s="46" t="s">
        <v>298</v>
      </c>
      <c r="F20" s="110" t="s">
        <v>236</v>
      </c>
      <c r="G20" s="67"/>
      <c r="H20" s="123"/>
      <c r="I20" s="67"/>
      <c r="J20" s="123"/>
      <c r="K20" s="67"/>
      <c r="L20" s="123"/>
      <c r="M20" s="67"/>
      <c r="N20" s="123"/>
      <c r="O20" s="67"/>
      <c r="P20" s="123"/>
      <c r="Q20" s="67"/>
      <c r="R20" s="123"/>
      <c r="S20" s="67"/>
      <c r="T20" s="123"/>
      <c r="U20" s="67"/>
      <c r="V20" s="123"/>
      <c r="W20" s="67"/>
      <c r="X20" s="123"/>
      <c r="Y20" s="67"/>
      <c r="Z20" s="123"/>
      <c r="AA20" s="67"/>
      <c r="AB20" s="123"/>
      <c r="AC20" s="67"/>
      <c r="AD20" s="123"/>
      <c r="AE20" s="67"/>
      <c r="AF20" s="123"/>
      <c r="AG20" s="67"/>
      <c r="AH20" s="123"/>
      <c r="AI20" s="67"/>
      <c r="AJ20" s="123"/>
      <c r="AK20" s="67"/>
      <c r="AL20" s="123"/>
      <c r="AM20" s="67"/>
      <c r="AN20" s="123"/>
      <c r="AO20" s="67"/>
      <c r="AP20" s="123"/>
      <c r="AQ20" s="68"/>
      <c r="AR20" s="123"/>
      <c r="AS20" s="67"/>
      <c r="AT20" s="123"/>
      <c r="AU20" s="67"/>
      <c r="AV20" s="123"/>
      <c r="AW20" s="67"/>
      <c r="AX20" s="123"/>
      <c r="AY20" s="67"/>
      <c r="AZ20" s="123"/>
      <c r="BA20" s="123"/>
      <c r="BB20" s="67"/>
      <c r="BC20" s="123"/>
      <c r="BD20" s="67"/>
      <c r="BE20" s="123"/>
      <c r="BN20" s="98" t="s">
        <v>172</v>
      </c>
      <c r="BP20" s="98">
        <v>15</v>
      </c>
      <c r="BR20" s="98">
        <v>22</v>
      </c>
      <c r="BT20" s="98">
        <v>17.142857142857142</v>
      </c>
      <c r="BV20" s="98">
        <v>13.888888888888888</v>
      </c>
      <c r="BX20" s="98">
        <v>17.307692307692307</v>
      </c>
    </row>
    <row r="21" spans="1:79" ht="15" x14ac:dyDescent="0.2">
      <c r="B21" s="2"/>
      <c r="C21" s="2"/>
      <c r="D21" s="53"/>
      <c r="E21" s="46" t="s">
        <v>299</v>
      </c>
      <c r="F21" s="110" t="s">
        <v>246</v>
      </c>
      <c r="G21" s="67"/>
      <c r="H21" s="123"/>
      <c r="I21" s="67"/>
      <c r="J21" s="123"/>
      <c r="K21" s="67"/>
      <c r="L21" s="123"/>
      <c r="M21" s="67"/>
      <c r="N21" s="123"/>
      <c r="O21" s="67"/>
      <c r="P21" s="123"/>
      <c r="Q21" s="67"/>
      <c r="R21" s="123"/>
      <c r="S21" s="67"/>
      <c r="T21" s="123"/>
      <c r="U21" s="67"/>
      <c r="V21" s="123"/>
      <c r="W21" s="67"/>
      <c r="X21" s="123"/>
      <c r="Y21" s="67"/>
      <c r="Z21" s="123"/>
      <c r="AA21" s="67"/>
      <c r="AB21" s="123"/>
      <c r="AC21" s="67"/>
      <c r="AD21" s="123"/>
      <c r="AE21" s="67"/>
      <c r="AF21" s="123"/>
      <c r="AG21" s="67"/>
      <c r="AH21" s="123"/>
      <c r="AI21" s="67"/>
      <c r="AJ21" s="123"/>
      <c r="AK21" s="67"/>
      <c r="AL21" s="123"/>
      <c r="AM21" s="67"/>
      <c r="AN21" s="123"/>
      <c r="AO21" s="67"/>
      <c r="AP21" s="123"/>
      <c r="AQ21" s="68"/>
      <c r="AR21" s="123"/>
      <c r="AS21" s="67"/>
      <c r="AT21" s="123"/>
      <c r="AU21" s="67"/>
      <c r="AV21" s="123"/>
      <c r="AW21" s="67"/>
      <c r="AX21" s="123"/>
      <c r="AY21" s="67"/>
      <c r="AZ21" s="123"/>
      <c r="BA21" s="123"/>
      <c r="BB21" s="67"/>
      <c r="BC21" s="123"/>
      <c r="BD21" s="67"/>
      <c r="BE21" s="123"/>
      <c r="BN21" s="98" t="s">
        <v>172</v>
      </c>
      <c r="BP21" s="98">
        <v>57</v>
      </c>
      <c r="BR21" s="98">
        <v>76</v>
      </c>
      <c r="BT21" s="98">
        <v>42.857142857142854</v>
      </c>
      <c r="BV21" s="98">
        <v>45.833333333333336</v>
      </c>
      <c r="BX21" s="98">
        <v>67.307692307692307</v>
      </c>
    </row>
    <row r="22" spans="1:79" ht="15.75" thickBot="1" x14ac:dyDescent="0.25">
      <c r="B22" s="2"/>
      <c r="C22" s="2"/>
      <c r="D22" s="53"/>
      <c r="E22" s="46"/>
      <c r="F22" s="21"/>
      <c r="G22" s="72"/>
      <c r="H22" s="124"/>
      <c r="I22" s="72"/>
      <c r="J22" s="124"/>
      <c r="K22" s="72"/>
      <c r="L22" s="124"/>
      <c r="M22" s="72"/>
      <c r="N22" s="124"/>
      <c r="O22" s="72"/>
      <c r="P22" s="124"/>
      <c r="Q22" s="72"/>
      <c r="R22" s="124"/>
      <c r="S22" s="72"/>
      <c r="T22" s="124"/>
      <c r="U22" s="72"/>
      <c r="V22" s="124"/>
      <c r="W22" s="72"/>
      <c r="X22" s="124"/>
      <c r="Y22" s="72"/>
      <c r="Z22" s="124"/>
      <c r="AA22" s="72"/>
      <c r="AB22" s="124"/>
      <c r="AC22" s="72"/>
      <c r="AD22" s="124"/>
      <c r="AE22" s="72"/>
      <c r="AF22" s="124"/>
      <c r="AG22" s="72"/>
      <c r="AH22" s="124"/>
      <c r="AI22" s="72"/>
      <c r="AJ22" s="124"/>
      <c r="AK22" s="72"/>
      <c r="AL22" s="124"/>
      <c r="AM22" s="72"/>
      <c r="AN22" s="124"/>
      <c r="AO22" s="72"/>
      <c r="AP22" s="124"/>
      <c r="AQ22" s="72"/>
      <c r="AR22" s="124"/>
      <c r="AS22" s="72"/>
      <c r="AT22" s="124"/>
      <c r="AU22" s="72"/>
      <c r="AV22" s="124"/>
      <c r="AW22" s="72"/>
      <c r="AX22" s="124"/>
      <c r="AY22" s="72"/>
      <c r="AZ22" s="124"/>
      <c r="BA22" s="124"/>
      <c r="BB22" s="72"/>
      <c r="BC22" s="124"/>
      <c r="BD22" s="72"/>
      <c r="BE22" s="124"/>
    </row>
    <row r="23" spans="1:79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79" ht="15.75" customHeight="1" thickBot="1" x14ac:dyDescent="0.25">
      <c r="A24" s="120"/>
      <c r="B24" s="120"/>
      <c r="C24" s="120"/>
      <c r="D24" s="120"/>
      <c r="E24" s="2"/>
      <c r="F24" s="2"/>
      <c r="G24" s="125" t="s">
        <v>74</v>
      </c>
      <c r="H24" s="126"/>
      <c r="I24" s="126" t="s">
        <v>75</v>
      </c>
      <c r="J24" s="126"/>
      <c r="K24" s="126" t="s">
        <v>76</v>
      </c>
      <c r="L24" s="126"/>
      <c r="M24" s="126" t="s">
        <v>77</v>
      </c>
      <c r="N24" s="126"/>
      <c r="O24" s="125" t="s">
        <v>78</v>
      </c>
      <c r="P24" s="126"/>
      <c r="Q24" s="126" t="s">
        <v>79</v>
      </c>
      <c r="R24" s="126"/>
      <c r="S24" s="126" t="s">
        <v>80</v>
      </c>
      <c r="T24" s="126"/>
      <c r="U24" s="126" t="s">
        <v>81</v>
      </c>
      <c r="V24" s="126"/>
      <c r="W24" s="125" t="s">
        <v>82</v>
      </c>
      <c r="X24" s="126"/>
      <c r="Y24" s="126" t="s">
        <v>83</v>
      </c>
      <c r="Z24" s="126"/>
      <c r="AA24" s="126" t="s">
        <v>84</v>
      </c>
      <c r="AB24" s="126"/>
      <c r="AC24" s="126" t="s">
        <v>85</v>
      </c>
      <c r="AD24" s="126"/>
      <c r="AE24" s="125" t="s">
        <v>86</v>
      </c>
      <c r="AF24" s="126"/>
      <c r="AG24" s="126" t="s">
        <v>87</v>
      </c>
      <c r="AH24" s="126"/>
      <c r="AI24" s="126" t="s">
        <v>88</v>
      </c>
      <c r="AJ24" s="126"/>
      <c r="AK24" s="126" t="s">
        <v>89</v>
      </c>
      <c r="AL24" s="126"/>
      <c r="AM24" s="125" t="s">
        <v>90</v>
      </c>
      <c r="AN24" s="126"/>
      <c r="AO24" s="126" t="s">
        <v>91</v>
      </c>
      <c r="AP24" s="126"/>
      <c r="AQ24" s="126" t="s">
        <v>92</v>
      </c>
      <c r="AR24" s="126"/>
      <c r="AS24" s="126" t="s">
        <v>93</v>
      </c>
      <c r="AT24" s="126"/>
      <c r="AU24" s="126" t="s">
        <v>155</v>
      </c>
      <c r="AV24" s="126"/>
      <c r="AW24" s="126" t="s">
        <v>160</v>
      </c>
      <c r="AX24" s="126"/>
      <c r="AY24" s="126" t="s">
        <v>171</v>
      </c>
      <c r="AZ24" s="126"/>
      <c r="BA24" s="126" t="s">
        <v>174</v>
      </c>
      <c r="BB24" s="126"/>
      <c r="BC24" s="126" t="s">
        <v>181</v>
      </c>
      <c r="BD24" s="126"/>
      <c r="BE24" s="126" t="s">
        <v>190</v>
      </c>
      <c r="BF24" s="126"/>
      <c r="BH24" s="126" t="s">
        <v>193</v>
      </c>
      <c r="BI24" s="126"/>
      <c r="BJ24" s="126" t="s">
        <v>198</v>
      </c>
      <c r="BK24" s="126"/>
      <c r="BL24" s="126" t="s">
        <v>202</v>
      </c>
      <c r="BM24" s="126"/>
      <c r="BN24" s="126" t="s">
        <v>208</v>
      </c>
      <c r="BO24" s="126"/>
      <c r="BP24" s="126" t="s">
        <v>248</v>
      </c>
      <c r="BQ24" s="126"/>
      <c r="BR24" s="126" t="s">
        <v>249</v>
      </c>
      <c r="BS24" s="126"/>
      <c r="BT24" s="126" t="s">
        <v>255</v>
      </c>
      <c r="BU24" s="126"/>
      <c r="BV24" s="126" t="s">
        <v>256</v>
      </c>
      <c r="BW24" s="126"/>
      <c r="BX24" s="126" t="s">
        <v>303</v>
      </c>
      <c r="BY24" s="126"/>
      <c r="BZ24" s="126" t="s">
        <v>303</v>
      </c>
      <c r="CA24" s="126"/>
    </row>
    <row r="25" spans="1:79" ht="27.75" customHeight="1" thickBot="1" x14ac:dyDescent="0.25">
      <c r="A25" s="75" t="s">
        <v>139</v>
      </c>
      <c r="B25" s="75" t="s">
        <v>140</v>
      </c>
      <c r="C25" s="75" t="s">
        <v>141</v>
      </c>
      <c r="D25" s="75" t="s">
        <v>142</v>
      </c>
      <c r="E25" s="39" t="s">
        <v>162</v>
      </c>
      <c r="F25" s="40" t="s">
        <v>45</v>
      </c>
      <c r="G25" s="73" t="s">
        <v>139</v>
      </c>
      <c r="H25" s="73" t="s">
        <v>140</v>
      </c>
      <c r="I25" s="73" t="s">
        <v>139</v>
      </c>
      <c r="J25" s="73" t="s">
        <v>140</v>
      </c>
      <c r="K25" s="73" t="s">
        <v>139</v>
      </c>
      <c r="L25" s="73" t="s">
        <v>140</v>
      </c>
      <c r="M25" s="73" t="s">
        <v>139</v>
      </c>
      <c r="N25" s="73" t="s">
        <v>140</v>
      </c>
      <c r="O25" s="73" t="s">
        <v>139</v>
      </c>
      <c r="P25" s="73" t="s">
        <v>140</v>
      </c>
      <c r="Q25" s="73" t="s">
        <v>139</v>
      </c>
      <c r="R25" s="73" t="s">
        <v>140</v>
      </c>
      <c r="S25" s="73" t="s">
        <v>139</v>
      </c>
      <c r="T25" s="73" t="s">
        <v>140</v>
      </c>
      <c r="U25" s="73" t="s">
        <v>139</v>
      </c>
      <c r="V25" s="73" t="s">
        <v>140</v>
      </c>
      <c r="W25" s="73" t="s">
        <v>139</v>
      </c>
      <c r="X25" s="73" t="s">
        <v>140</v>
      </c>
      <c r="Y25" s="73" t="s">
        <v>139</v>
      </c>
      <c r="Z25" s="73" t="s">
        <v>140</v>
      </c>
      <c r="AA25" s="73" t="s">
        <v>139</v>
      </c>
      <c r="AB25" s="73" t="s">
        <v>140</v>
      </c>
      <c r="AC25" s="73" t="s">
        <v>139</v>
      </c>
      <c r="AD25" s="73" t="s">
        <v>140</v>
      </c>
      <c r="AE25" s="73" t="s">
        <v>139</v>
      </c>
      <c r="AF25" s="73" t="s">
        <v>140</v>
      </c>
      <c r="AG25" s="73" t="s">
        <v>139</v>
      </c>
      <c r="AH25" s="73" t="s">
        <v>140</v>
      </c>
      <c r="AI25" s="73" t="s">
        <v>139</v>
      </c>
      <c r="AJ25" s="73" t="s">
        <v>140</v>
      </c>
      <c r="AK25" s="73" t="s">
        <v>139</v>
      </c>
      <c r="AL25" s="73" t="s">
        <v>140</v>
      </c>
      <c r="AM25" s="73" t="s">
        <v>139</v>
      </c>
      <c r="AN25" s="73" t="s">
        <v>140</v>
      </c>
      <c r="AO25" s="73" t="s">
        <v>139</v>
      </c>
      <c r="AP25" s="73" t="s">
        <v>140</v>
      </c>
      <c r="AQ25" s="73" t="s">
        <v>139</v>
      </c>
      <c r="AR25" s="73" t="s">
        <v>140</v>
      </c>
      <c r="AS25" s="73" t="s">
        <v>139</v>
      </c>
      <c r="AT25" s="73" t="s">
        <v>140</v>
      </c>
      <c r="AU25" s="73" t="s">
        <v>139</v>
      </c>
      <c r="AV25" s="73" t="s">
        <v>140</v>
      </c>
      <c r="AW25" s="73" t="s">
        <v>139</v>
      </c>
      <c r="AX25" s="73" t="s">
        <v>140</v>
      </c>
      <c r="AY25" s="73" t="s">
        <v>139</v>
      </c>
      <c r="AZ25" s="73" t="s">
        <v>140</v>
      </c>
      <c r="BA25" s="73" t="s">
        <v>139</v>
      </c>
      <c r="BB25" s="73" t="s">
        <v>140</v>
      </c>
      <c r="BC25" s="73" t="s">
        <v>139</v>
      </c>
      <c r="BD25" s="73" t="s">
        <v>140</v>
      </c>
      <c r="BE25" s="73" t="s">
        <v>139</v>
      </c>
      <c r="BF25" s="73" t="s">
        <v>140</v>
      </c>
      <c r="BH25" s="73" t="s">
        <v>139</v>
      </c>
      <c r="BI25" s="73" t="s">
        <v>140</v>
      </c>
      <c r="BJ25" s="73" t="s">
        <v>139</v>
      </c>
      <c r="BK25" s="73" t="s">
        <v>140</v>
      </c>
      <c r="BL25" s="73" t="s">
        <v>139</v>
      </c>
      <c r="BM25" s="73" t="s">
        <v>140</v>
      </c>
      <c r="BN25" s="73" t="s">
        <v>139</v>
      </c>
      <c r="BO25" s="73" t="s">
        <v>140</v>
      </c>
      <c r="BP25" s="73" t="s">
        <v>139</v>
      </c>
      <c r="BQ25" s="73" t="s">
        <v>140</v>
      </c>
      <c r="BR25" s="73" t="s">
        <v>139</v>
      </c>
      <c r="BS25" s="73" t="s">
        <v>140</v>
      </c>
      <c r="BT25" s="73" t="s">
        <v>139</v>
      </c>
      <c r="BU25" s="73" t="s">
        <v>140</v>
      </c>
      <c r="BV25" s="73" t="s">
        <v>139</v>
      </c>
      <c r="BW25" s="73" t="s">
        <v>140</v>
      </c>
      <c r="BX25" s="73" t="s">
        <v>139</v>
      </c>
      <c r="BY25" s="73" t="s">
        <v>140</v>
      </c>
      <c r="BZ25" s="73" t="s">
        <v>139</v>
      </c>
      <c r="CA25" s="73" t="s">
        <v>140</v>
      </c>
    </row>
    <row r="26" spans="1:79" ht="15" x14ac:dyDescent="0.2">
      <c r="B26" s="2"/>
      <c r="C26" s="2"/>
      <c r="D26" s="2"/>
      <c r="E26" s="82" t="s">
        <v>287</v>
      </c>
      <c r="F26" s="15" t="s">
        <v>237</v>
      </c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41"/>
      <c r="AP26" s="41"/>
      <c r="AQ26" s="24">
        <v>100</v>
      </c>
      <c r="AR26" s="24">
        <v>100</v>
      </c>
      <c r="AS26" s="27">
        <v>100</v>
      </c>
      <c r="AT26" s="88">
        <v>100</v>
      </c>
      <c r="AU26" s="93">
        <v>100</v>
      </c>
      <c r="AV26" s="88">
        <v>86.365632610691904</v>
      </c>
      <c r="AW26" s="98">
        <v>100</v>
      </c>
      <c r="AX26" s="98">
        <v>99</v>
      </c>
      <c r="AY26" s="98">
        <v>100</v>
      </c>
      <c r="AZ26" s="98">
        <v>97.538461538461547</v>
      </c>
      <c r="BA26" s="98">
        <v>100</v>
      </c>
      <c r="BB26" s="98">
        <v>100</v>
      </c>
      <c r="BC26" s="98">
        <v>93.827160493827151</v>
      </c>
      <c r="BD26" s="98">
        <v>76.756756756756758</v>
      </c>
      <c r="BE26" s="109">
        <v>92</v>
      </c>
      <c r="BF26" s="109">
        <v>84</v>
      </c>
      <c r="BH26" s="98">
        <v>83.132530120481903</v>
      </c>
      <c r="BI26" s="98">
        <v>77.272727272727266</v>
      </c>
      <c r="BJ26" s="98">
        <v>92.941176470588232</v>
      </c>
      <c r="BK26" s="98">
        <v>85.82474226804122</v>
      </c>
      <c r="BL26" s="98">
        <v>91.860465116279073</v>
      </c>
      <c r="BM26" s="98">
        <v>85.602094240837687</v>
      </c>
      <c r="BN26" s="98">
        <v>100</v>
      </c>
      <c r="BO26" s="98">
        <v>94.303797468354418</v>
      </c>
      <c r="BP26" s="98">
        <v>23</v>
      </c>
      <c r="BQ26" s="98">
        <v>27</v>
      </c>
      <c r="BR26" s="98">
        <v>23</v>
      </c>
      <c r="BS26" s="98">
        <v>42</v>
      </c>
      <c r="BT26" s="98">
        <v>23.076923076923073</v>
      </c>
      <c r="BU26" s="98">
        <v>36.84210526315789</v>
      </c>
      <c r="BV26" s="98">
        <v>26.315789473684209</v>
      </c>
      <c r="BW26" s="98">
        <v>26.415094339622634</v>
      </c>
      <c r="BX26" s="98">
        <v>36.363636363636367</v>
      </c>
      <c r="BY26" s="98">
        <v>25.581395348837212</v>
      </c>
      <c r="BZ26" s="98"/>
      <c r="CA26" s="98"/>
    </row>
    <row r="27" spans="1:79" ht="30" x14ac:dyDescent="0.2">
      <c r="B27" s="2"/>
      <c r="C27" s="2"/>
      <c r="D27" s="2"/>
      <c r="E27" s="83" t="s">
        <v>147</v>
      </c>
      <c r="F27" s="111" t="s">
        <v>44</v>
      </c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41"/>
      <c r="AP27" s="41"/>
      <c r="AQ27" s="24">
        <v>72.692307692307708</v>
      </c>
      <c r="AR27" s="24">
        <v>95.02262443438913</v>
      </c>
      <c r="AS27" s="27">
        <v>76.32692307692308</v>
      </c>
      <c r="AT27" s="88">
        <v>79.252101138678512</v>
      </c>
      <c r="AU27" s="93">
        <v>83.333333333333329</v>
      </c>
      <c r="AV27" s="88">
        <v>68.852601553523826</v>
      </c>
      <c r="AW27" s="98">
        <v>61.627906976744185</v>
      </c>
      <c r="AX27" s="98">
        <v>69</v>
      </c>
      <c r="AY27" s="98">
        <v>76.344086021505362</v>
      </c>
      <c r="AZ27" s="98">
        <v>79.692307692307679</v>
      </c>
      <c r="BA27" s="98">
        <v>76.543209876543173</v>
      </c>
      <c r="BB27" s="98">
        <v>74.927953890489903</v>
      </c>
      <c r="BC27" s="98">
        <v>69.135802469135783</v>
      </c>
      <c r="BD27" s="98">
        <v>72.702702702702709</v>
      </c>
      <c r="BE27" s="109">
        <v>78</v>
      </c>
      <c r="BF27" s="109">
        <v>66</v>
      </c>
      <c r="BH27" s="98">
        <v>72.289156626505999</v>
      </c>
      <c r="BI27" s="98">
        <v>75.935828877005335</v>
      </c>
      <c r="BJ27" s="98">
        <v>85.882352941176464</v>
      </c>
      <c r="BK27" s="98">
        <v>66.75257731958763</v>
      </c>
      <c r="BL27" s="98">
        <v>65.11627906976743</v>
      </c>
      <c r="BM27" s="98">
        <v>71.989528795811538</v>
      </c>
      <c r="BN27" s="98">
        <v>73.972602739726028</v>
      </c>
      <c r="BO27" s="98">
        <v>75.949367088607588</v>
      </c>
      <c r="BP27" s="98">
        <v>23</v>
      </c>
      <c r="BQ27" s="98">
        <v>29</v>
      </c>
      <c r="BR27" s="98">
        <v>54</v>
      </c>
      <c r="BS27" s="98">
        <v>77</v>
      </c>
      <c r="BT27" s="98">
        <v>76.92307692307692</v>
      </c>
      <c r="BU27" s="98">
        <v>71.929824561403507</v>
      </c>
      <c r="BV27" s="98">
        <v>10.526315789473685</v>
      </c>
      <c r="BW27" s="98">
        <v>41.509433962264154</v>
      </c>
      <c r="BX27" s="98">
        <v>72.727272727272734</v>
      </c>
      <c r="BY27" s="98">
        <v>58.139534883720934</v>
      </c>
      <c r="BZ27" s="98"/>
      <c r="CA27" s="98"/>
    </row>
    <row r="28" spans="1:79" ht="15" x14ac:dyDescent="0.2">
      <c r="B28" s="2"/>
      <c r="C28" s="2"/>
      <c r="D28" s="2"/>
      <c r="E28" s="83" t="s">
        <v>275</v>
      </c>
      <c r="F28" s="15" t="s">
        <v>216</v>
      </c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41"/>
      <c r="AP28" s="41"/>
      <c r="AQ28" s="24">
        <v>82.692307692307693</v>
      </c>
      <c r="AR28" s="24">
        <v>69.230769230769212</v>
      </c>
      <c r="AS28" s="27">
        <v>82.051282051282044</v>
      </c>
      <c r="AT28" s="88">
        <v>69.114910655475271</v>
      </c>
      <c r="AU28" s="88">
        <v>54.761904761904766</v>
      </c>
      <c r="AV28" s="88">
        <v>57.816992942157633</v>
      </c>
      <c r="AW28" s="98">
        <v>48.837209302325576</v>
      </c>
      <c r="AX28" s="98">
        <v>67</v>
      </c>
      <c r="AY28" s="98">
        <v>50.537634408602152</v>
      </c>
      <c r="AZ28" s="98">
        <v>81.84615384615384</v>
      </c>
      <c r="BA28" s="98">
        <v>51.851851851851841</v>
      </c>
      <c r="BB28" s="98">
        <v>71.469740634005746</v>
      </c>
      <c r="BC28" s="98">
        <v>85.185185185185176</v>
      </c>
      <c r="BD28" s="98">
        <v>80.540540540540533</v>
      </c>
      <c r="BE28" s="109">
        <v>67</v>
      </c>
      <c r="BF28" s="109">
        <v>79</v>
      </c>
      <c r="BH28" s="98">
        <v>80.722891566265034</v>
      </c>
      <c r="BI28" s="98">
        <v>83.155080213903744</v>
      </c>
      <c r="BJ28" s="98">
        <v>91.764705882352942</v>
      </c>
      <c r="BK28" s="98">
        <v>85.82474226804122</v>
      </c>
      <c r="BL28" s="98">
        <v>80.232558139534888</v>
      </c>
      <c r="BM28" s="98">
        <v>80.104712041884824</v>
      </c>
      <c r="BN28" s="98">
        <v>78.082191780821915</v>
      </c>
      <c r="BO28" s="98">
        <v>85.443037974683548</v>
      </c>
      <c r="BP28" s="98">
        <v>8</v>
      </c>
      <c r="BQ28" s="98">
        <v>2</v>
      </c>
      <c r="BR28" s="98">
        <v>0</v>
      </c>
      <c r="BS28" s="98">
        <v>2</v>
      </c>
      <c r="BT28" s="98">
        <v>0</v>
      </c>
      <c r="BU28" s="98">
        <v>1.754385964912281</v>
      </c>
      <c r="BV28" s="98">
        <v>10.526315789473685</v>
      </c>
      <c r="BW28" s="98">
        <v>7.5471698113207548</v>
      </c>
      <c r="BX28" s="98">
        <v>9.0909090909090917</v>
      </c>
      <c r="BY28" s="98">
        <v>9.3023255813953494</v>
      </c>
      <c r="BZ28" s="98"/>
      <c r="CA28" s="98"/>
    </row>
    <row r="29" spans="1:79" ht="15" x14ac:dyDescent="0.2">
      <c r="B29" s="2"/>
      <c r="C29" s="2"/>
      <c r="D29" s="2"/>
      <c r="E29" s="83" t="s">
        <v>57</v>
      </c>
      <c r="F29" s="111" t="s">
        <v>4</v>
      </c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41"/>
      <c r="AP29" s="41"/>
      <c r="AQ29" s="24">
        <v>58.557692307692314</v>
      </c>
      <c r="AR29" s="24">
        <v>86.425339366515828</v>
      </c>
      <c r="AS29" s="27">
        <v>46.644230769230774</v>
      </c>
      <c r="AT29" s="88">
        <v>72.63465147589298</v>
      </c>
      <c r="AU29" s="88">
        <v>60.714285714285722</v>
      </c>
      <c r="AV29" s="88">
        <v>63.814606317900136</v>
      </c>
      <c r="AW29" s="98">
        <v>43.02325581395349</v>
      </c>
      <c r="AX29" s="98">
        <v>75</v>
      </c>
      <c r="AY29" s="98">
        <v>49.462365591397848</v>
      </c>
      <c r="AZ29" s="98">
        <v>56.61538461538462</v>
      </c>
      <c r="BA29" s="98">
        <v>33.333333333333321</v>
      </c>
      <c r="BB29" s="98">
        <v>63.976945244956759</v>
      </c>
      <c r="BC29" s="98">
        <v>60.493827160493815</v>
      </c>
      <c r="BD29" s="98">
        <v>65.675675675675677</v>
      </c>
      <c r="BE29" s="109">
        <v>57</v>
      </c>
      <c r="BF29" s="109">
        <v>75</v>
      </c>
      <c r="BH29" s="98">
        <v>60.24096385542169</v>
      </c>
      <c r="BI29" s="98">
        <v>71.390374331550802</v>
      </c>
      <c r="BJ29" s="98">
        <v>64.705882352941174</v>
      </c>
      <c r="BK29" s="98">
        <v>62.628865979381445</v>
      </c>
      <c r="BL29" s="98">
        <v>46.511627906976742</v>
      </c>
      <c r="BM29" s="98">
        <v>62.041884816753921</v>
      </c>
      <c r="BN29" s="98">
        <v>63.013698630136993</v>
      </c>
      <c r="BO29" s="98">
        <v>68.354430379746816</v>
      </c>
      <c r="BP29" s="98">
        <v>38</v>
      </c>
      <c r="BQ29" s="98">
        <v>61</v>
      </c>
      <c r="BR29" s="98">
        <v>46</v>
      </c>
      <c r="BS29" s="98">
        <v>93</v>
      </c>
      <c r="BT29" s="98">
        <v>38.46153846153846</v>
      </c>
      <c r="BU29" s="98">
        <v>43.859649122807021</v>
      </c>
      <c r="BV29" s="98">
        <v>15.789473684210526</v>
      </c>
      <c r="BW29" s="98">
        <v>45.283018867924525</v>
      </c>
      <c r="BX29" s="98">
        <v>63.636363636363633</v>
      </c>
      <c r="BY29" s="98">
        <v>62.790697674418595</v>
      </c>
      <c r="BZ29" s="98"/>
      <c r="CA29" s="98"/>
    </row>
    <row r="30" spans="1:79" ht="30" x14ac:dyDescent="0.2">
      <c r="B30" s="2"/>
      <c r="C30" s="2"/>
      <c r="D30" s="2"/>
      <c r="E30" s="83" t="s">
        <v>288</v>
      </c>
      <c r="F30" s="111" t="s">
        <v>43</v>
      </c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41"/>
      <c r="AP30" s="41"/>
      <c r="AQ30" s="24">
        <v>63.461538461538467</v>
      </c>
      <c r="AR30" s="24">
        <v>85.972850678733025</v>
      </c>
      <c r="AS30" s="27">
        <v>43.817307692307693</v>
      </c>
      <c r="AT30" s="88">
        <v>71.786833855799372</v>
      </c>
      <c r="AU30" s="94">
        <v>78.571428571428584</v>
      </c>
      <c r="AV30" s="88">
        <v>72.211265043939605</v>
      </c>
      <c r="AW30" s="98">
        <v>67.441860465116278</v>
      </c>
      <c r="AX30" s="98">
        <v>75</v>
      </c>
      <c r="AY30" s="98">
        <v>58.337066905615288</v>
      </c>
      <c r="AZ30" s="98">
        <v>75.692307692307693</v>
      </c>
      <c r="BA30" s="98">
        <v>74.074074074074062</v>
      </c>
      <c r="BB30" s="98">
        <v>70.028818443804013</v>
      </c>
      <c r="BC30" s="98">
        <v>59.259259259259245</v>
      </c>
      <c r="BD30" s="98">
        <v>61.891891891891895</v>
      </c>
      <c r="BE30" s="109">
        <v>61</v>
      </c>
      <c r="BF30" s="109">
        <v>65</v>
      </c>
      <c r="BH30" s="98">
        <v>54.216867469879503</v>
      </c>
      <c r="BI30" s="98">
        <v>60.160427807486613</v>
      </c>
      <c r="BJ30" s="98">
        <v>56.470588235294109</v>
      </c>
      <c r="BK30" s="98">
        <v>53.350515463917517</v>
      </c>
      <c r="BL30" s="98">
        <v>51.162790697674424</v>
      </c>
      <c r="BM30" s="98">
        <v>61.256544502617807</v>
      </c>
      <c r="BN30" s="98">
        <v>56.164383561643838</v>
      </c>
      <c r="BO30" s="98">
        <v>66.455696202531641</v>
      </c>
      <c r="BP30" s="98">
        <v>31</v>
      </c>
      <c r="BQ30" s="98">
        <v>27</v>
      </c>
      <c r="BR30" s="98">
        <v>46</v>
      </c>
      <c r="BS30" s="98">
        <v>21</v>
      </c>
      <c r="BT30" s="98">
        <v>23.076923076923073</v>
      </c>
      <c r="BU30" s="98">
        <v>29.82456140350877</v>
      </c>
      <c r="BV30" s="98">
        <v>10.526315789473685</v>
      </c>
      <c r="BW30" s="98">
        <v>39.622641509433961</v>
      </c>
      <c r="BX30" s="98">
        <v>36.363636363636367</v>
      </c>
      <c r="BY30" s="98">
        <v>55.813953488372093</v>
      </c>
      <c r="BZ30" s="98"/>
      <c r="CA30" s="98"/>
    </row>
    <row r="31" spans="1:79" ht="15" x14ac:dyDescent="0.2">
      <c r="B31" s="2"/>
      <c r="C31" s="2"/>
      <c r="D31" s="2"/>
      <c r="E31" s="83" t="s">
        <v>289</v>
      </c>
      <c r="F31" s="111" t="s">
        <v>41</v>
      </c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41"/>
      <c r="AP31" s="41"/>
      <c r="AQ31" s="24">
        <v>46.442307692307701</v>
      </c>
      <c r="AR31" s="24">
        <v>38.46153846153846</v>
      </c>
      <c r="AS31" s="27">
        <v>39.576923076923073</v>
      </c>
      <c r="AT31" s="88">
        <v>65.830721003134798</v>
      </c>
      <c r="AU31" s="88">
        <v>57.142857142857153</v>
      </c>
      <c r="AV31" s="88">
        <v>59.016515617306119</v>
      </c>
      <c r="AW31" s="98">
        <v>82.558139534883722</v>
      </c>
      <c r="AX31" s="98">
        <v>83</v>
      </c>
      <c r="AY31" s="98">
        <v>83.870967741935488</v>
      </c>
      <c r="AZ31" s="98">
        <v>100</v>
      </c>
      <c r="BA31" s="98">
        <v>86.419753086419732</v>
      </c>
      <c r="BB31" s="98">
        <v>98.559077809798254</v>
      </c>
      <c r="BC31" s="98">
        <v>100</v>
      </c>
      <c r="BD31" s="98">
        <v>100</v>
      </c>
      <c r="BE31" s="109">
        <v>100</v>
      </c>
      <c r="BF31" s="109">
        <v>100</v>
      </c>
      <c r="BH31" s="98">
        <v>100</v>
      </c>
      <c r="BI31" s="98">
        <v>100</v>
      </c>
      <c r="BJ31" s="98">
        <v>100</v>
      </c>
      <c r="BK31" s="98">
        <v>100</v>
      </c>
      <c r="BL31" s="98">
        <v>100</v>
      </c>
      <c r="BM31" s="98">
        <v>100</v>
      </c>
      <c r="BN31" s="98">
        <v>90.410958904109592</v>
      </c>
      <c r="BO31" s="98">
        <v>100</v>
      </c>
      <c r="BP31" s="98">
        <v>100</v>
      </c>
      <c r="BQ31" s="98">
        <v>100</v>
      </c>
      <c r="BR31" s="98">
        <v>100</v>
      </c>
      <c r="BS31" s="98">
        <v>95</v>
      </c>
      <c r="BT31" s="98">
        <v>100</v>
      </c>
      <c r="BU31" s="98">
        <v>100</v>
      </c>
      <c r="BV31" s="98">
        <v>100</v>
      </c>
      <c r="BW31" s="98">
        <v>100</v>
      </c>
      <c r="BX31" s="98">
        <v>100</v>
      </c>
      <c r="BY31" s="98">
        <v>93.023255813953483</v>
      </c>
      <c r="BZ31" s="98"/>
      <c r="CA31" s="98"/>
    </row>
    <row r="32" spans="1:79" ht="15" x14ac:dyDescent="0.2">
      <c r="B32" s="2"/>
      <c r="C32" s="2"/>
      <c r="D32" s="2"/>
      <c r="E32" s="83" t="s">
        <v>68</v>
      </c>
      <c r="F32" s="15" t="s">
        <v>46</v>
      </c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41"/>
      <c r="AP32" s="41"/>
      <c r="AQ32" s="24">
        <v>57.692307692307686</v>
      </c>
      <c r="AR32" s="24">
        <v>88.687782805429862</v>
      </c>
      <c r="AS32" s="27">
        <v>40.99038461538462</v>
      </c>
      <c r="AT32" s="88">
        <v>56.955806003123129</v>
      </c>
      <c r="AU32" s="88">
        <v>30.952380952380953</v>
      </c>
      <c r="AV32" s="88">
        <v>37.904916534692553</v>
      </c>
      <c r="AW32" s="98">
        <v>43.02325581395349</v>
      </c>
      <c r="AX32" s="98">
        <v>37.356321839080458</v>
      </c>
      <c r="AY32" s="98">
        <v>26.881720430107524</v>
      </c>
      <c r="AZ32" s="98">
        <v>27.076923076923077</v>
      </c>
      <c r="BA32" s="98">
        <v>13.580246913580243</v>
      </c>
      <c r="BB32" s="98">
        <v>17.579250720461097</v>
      </c>
      <c r="BC32" s="98">
        <v>41.975308641975303</v>
      </c>
      <c r="BD32" s="98">
        <v>45.405405405405411</v>
      </c>
      <c r="BE32" s="109">
        <v>45</v>
      </c>
      <c r="BF32" s="109">
        <v>39</v>
      </c>
      <c r="BH32" s="98">
        <v>46.987951807228903</v>
      </c>
      <c r="BI32" s="98">
        <v>49.732620320855609</v>
      </c>
      <c r="BJ32" s="98">
        <v>57.647058823529406</v>
      </c>
      <c r="BK32" s="98">
        <v>38.917525773195869</v>
      </c>
      <c r="BL32" s="98">
        <v>39.534883720930232</v>
      </c>
      <c r="BM32" s="98">
        <v>41.623036649214662</v>
      </c>
      <c r="BN32" s="98">
        <v>41.095890410958901</v>
      </c>
      <c r="BO32" s="98">
        <v>50.632911392405063</v>
      </c>
      <c r="BP32" s="98">
        <v>54</v>
      </c>
      <c r="BQ32" s="98">
        <v>55</v>
      </c>
      <c r="BR32" s="98">
        <v>46</v>
      </c>
      <c r="BS32" s="98">
        <v>33</v>
      </c>
      <c r="BT32" s="98">
        <v>46.153846153846146</v>
      </c>
      <c r="BU32" s="98">
        <v>36.84210526315789</v>
      </c>
      <c r="BV32" s="98">
        <v>15.789473684210526</v>
      </c>
      <c r="BW32" s="98">
        <v>20.754716981132077</v>
      </c>
      <c r="BX32" s="98">
        <v>18.181818181818183</v>
      </c>
      <c r="BY32" s="98">
        <v>18.604651162790699</v>
      </c>
      <c r="BZ32" s="98"/>
      <c r="CA32" s="98"/>
    </row>
    <row r="33" spans="2:79" ht="15" x14ac:dyDescent="0.2">
      <c r="B33" s="2"/>
      <c r="C33" s="2"/>
      <c r="D33" s="2"/>
      <c r="E33" s="83" t="s">
        <v>290</v>
      </c>
      <c r="F33" s="111" t="s">
        <v>276</v>
      </c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41"/>
      <c r="AP33" s="41"/>
      <c r="AQ33" s="24">
        <v>53.846153846153847</v>
      </c>
      <c r="AR33" s="24">
        <v>72.8506787330317</v>
      </c>
      <c r="AS33" s="27">
        <v>43.817307692307693</v>
      </c>
      <c r="AT33" s="88">
        <v>54.063448838788439</v>
      </c>
      <c r="AU33" s="88">
        <v>16.666666666666668</v>
      </c>
      <c r="AV33" s="88">
        <v>35.265966649365858</v>
      </c>
      <c r="AW33" s="98">
        <v>18.604651162790699</v>
      </c>
      <c r="AX33" s="98">
        <v>37.068965517241388</v>
      </c>
      <c r="AY33" s="98">
        <v>17.204301075268816</v>
      </c>
      <c r="AZ33" s="98">
        <v>28.615384615384613</v>
      </c>
      <c r="BA33" s="98">
        <v>16.049382716049376</v>
      </c>
      <c r="BB33" s="98">
        <v>26.801152737752158</v>
      </c>
      <c r="BC33" s="98">
        <v>46.913580246913575</v>
      </c>
      <c r="BD33" s="98">
        <v>44.594594594594597</v>
      </c>
      <c r="BE33" s="109">
        <v>49</v>
      </c>
      <c r="BF33" s="109">
        <v>42</v>
      </c>
      <c r="BH33" s="98">
        <v>45.783132530120476</v>
      </c>
      <c r="BI33" s="98">
        <v>49.999999999999986</v>
      </c>
      <c r="BJ33" s="98">
        <v>61.176470588235297</v>
      </c>
      <c r="BK33" s="98">
        <v>39.69072164948453</v>
      </c>
      <c r="BL33" s="98">
        <v>47.674418604651166</v>
      </c>
      <c r="BM33" s="98">
        <v>51.047120418848181</v>
      </c>
      <c r="BN33" s="98">
        <v>41.095890410958901</v>
      </c>
      <c r="BO33" s="98">
        <v>57.594936708860757</v>
      </c>
      <c r="BP33" s="98">
        <v>31</v>
      </c>
      <c r="BQ33" s="98">
        <v>59</v>
      </c>
      <c r="BR33" s="98">
        <v>54</v>
      </c>
      <c r="BS33" s="98">
        <v>100</v>
      </c>
      <c r="BT33" s="98">
        <v>30.76923076923077</v>
      </c>
      <c r="BU33" s="98">
        <v>54.385964912280706</v>
      </c>
      <c r="BV33" s="98">
        <v>57.894736842105267</v>
      </c>
      <c r="BW33" s="98">
        <v>96.226415094339629</v>
      </c>
      <c r="BX33" s="98">
        <v>81.818181818181827</v>
      </c>
      <c r="BY33" s="98">
        <v>100</v>
      </c>
      <c r="BZ33" s="98"/>
      <c r="CA33" s="98"/>
    </row>
    <row r="34" spans="2:79" ht="15" x14ac:dyDescent="0.2">
      <c r="B34" s="2"/>
      <c r="C34" s="2"/>
      <c r="D34" s="2"/>
      <c r="E34" s="83" t="s">
        <v>265</v>
      </c>
      <c r="F34" s="111" t="s">
        <v>7</v>
      </c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41"/>
      <c r="AP34" s="41"/>
      <c r="AQ34" s="24">
        <v>61.639676113360331</v>
      </c>
      <c r="AR34" s="24">
        <v>45.916289592760172</v>
      </c>
      <c r="AS34" s="27">
        <v>26.502403846153843</v>
      </c>
      <c r="AT34" s="88">
        <v>57.89727513865445</v>
      </c>
      <c r="AU34" s="93">
        <v>89.410640799529688</v>
      </c>
      <c r="AV34" s="88">
        <v>100</v>
      </c>
      <c r="AW34" s="98">
        <v>51.082320753198687</v>
      </c>
      <c r="AX34" s="98">
        <v>100</v>
      </c>
      <c r="AY34" s="98">
        <v>60.378864247311824</v>
      </c>
      <c r="AZ34" s="98">
        <v>77.641513750972408</v>
      </c>
      <c r="BA34" s="98">
        <v>38.271604938271594</v>
      </c>
      <c r="BB34" s="98">
        <v>19.308357348703169</v>
      </c>
      <c r="BC34" s="98">
        <v>56.79012345679012</v>
      </c>
      <c r="BD34" s="98">
        <v>35.67567567567567</v>
      </c>
      <c r="BE34" s="109">
        <v>51</v>
      </c>
      <c r="BF34" s="109">
        <v>26</v>
      </c>
      <c r="BH34" s="98">
        <v>54.216867469879503</v>
      </c>
      <c r="BI34" s="98">
        <v>27.540106951871657</v>
      </c>
      <c r="BJ34" s="98">
        <v>57.647058823529406</v>
      </c>
      <c r="BK34" s="98">
        <v>28.092783505154639</v>
      </c>
      <c r="BL34" s="98">
        <v>24.418604651162788</v>
      </c>
      <c r="BM34" s="98">
        <v>21.465968586387437</v>
      </c>
      <c r="BN34" s="98">
        <v>42.465753424657535</v>
      </c>
      <c r="BO34" s="98">
        <v>23.417721518987342</v>
      </c>
      <c r="BP34" s="98">
        <v>0</v>
      </c>
      <c r="BQ34" s="98">
        <v>13</v>
      </c>
      <c r="BR34" s="98">
        <v>23</v>
      </c>
      <c r="BS34" s="98">
        <v>19</v>
      </c>
      <c r="BT34" s="98">
        <v>23.076923076923073</v>
      </c>
      <c r="BU34" s="98">
        <v>7.0175438596491242</v>
      </c>
      <c r="BV34" s="98">
        <v>15.789473684210526</v>
      </c>
      <c r="BW34" s="98">
        <v>16.981132075471699</v>
      </c>
      <c r="BX34" s="98">
        <v>54.54545454545454</v>
      </c>
      <c r="BY34" s="98">
        <v>13.953488372093023</v>
      </c>
      <c r="BZ34" s="98"/>
      <c r="CA34" s="98"/>
    </row>
    <row r="35" spans="2:79" ht="15" x14ac:dyDescent="0.2">
      <c r="B35" s="2"/>
      <c r="C35" s="2"/>
      <c r="D35" s="2"/>
      <c r="E35" s="83" t="s">
        <v>291</v>
      </c>
      <c r="F35" s="111" t="s">
        <v>42</v>
      </c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41"/>
      <c r="AP35" s="42"/>
      <c r="AQ35" s="24">
        <v>54.519230769230774</v>
      </c>
      <c r="AR35" s="24">
        <v>52.567180718441222</v>
      </c>
      <c r="AS35" s="27">
        <v>32.509615384615387</v>
      </c>
      <c r="AT35" s="88">
        <v>51.29884065953221</v>
      </c>
      <c r="AU35" s="88">
        <v>29.761904761904763</v>
      </c>
      <c r="AV35" s="88">
        <v>34.030748057874433</v>
      </c>
      <c r="AW35" s="98">
        <v>19.767441860465116</v>
      </c>
      <c r="AX35" s="98">
        <v>39.080459770114942</v>
      </c>
      <c r="AY35" s="98">
        <v>22.58064516129032</v>
      </c>
      <c r="AZ35" s="98">
        <v>32.307692307692307</v>
      </c>
      <c r="BA35" s="98">
        <v>27.160493827160487</v>
      </c>
      <c r="BB35" s="98">
        <v>30.259365994236308</v>
      </c>
      <c r="BC35" s="98">
        <v>23.456790123456788</v>
      </c>
      <c r="BD35" s="98">
        <v>32.702702702702702</v>
      </c>
      <c r="BE35" s="109">
        <v>41</v>
      </c>
      <c r="BF35" s="109">
        <v>41</v>
      </c>
      <c r="BH35" s="98">
        <v>44.578313253012041</v>
      </c>
      <c r="BI35" s="98">
        <v>48.128342245989302</v>
      </c>
      <c r="BJ35" s="98">
        <v>54.117647058823529</v>
      </c>
      <c r="BK35" s="98">
        <v>37.88659793814432</v>
      </c>
      <c r="BL35" s="98">
        <v>50</v>
      </c>
      <c r="BM35" s="98">
        <v>48.952879581151841</v>
      </c>
      <c r="BN35" s="98">
        <v>45.205479452054796</v>
      </c>
      <c r="BO35" s="98">
        <v>38.291139240506325</v>
      </c>
      <c r="BP35" s="98">
        <v>23</v>
      </c>
      <c r="BQ35" s="98">
        <v>13</v>
      </c>
      <c r="BR35" s="98">
        <v>31</v>
      </c>
      <c r="BS35" s="98">
        <v>26</v>
      </c>
      <c r="BT35" s="98">
        <v>38.46153846153846</v>
      </c>
      <c r="BU35" s="98">
        <v>14.035087719298248</v>
      </c>
      <c r="BV35" s="98">
        <v>5.2631578947368425</v>
      </c>
      <c r="BW35" s="98">
        <v>28.30188679245283</v>
      </c>
      <c r="BX35" s="98">
        <v>9.0909090909090917</v>
      </c>
      <c r="BY35" s="98">
        <v>39.534883720930232</v>
      </c>
      <c r="BZ35" s="98"/>
      <c r="CA35" s="98"/>
    </row>
    <row r="36" spans="2:79" ht="15" x14ac:dyDescent="0.2">
      <c r="B36" s="2"/>
      <c r="C36" s="2"/>
      <c r="D36" s="2"/>
      <c r="E36" s="83" t="s">
        <v>292</v>
      </c>
      <c r="F36" s="20" t="s">
        <v>233</v>
      </c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41"/>
      <c r="AP36" s="41"/>
      <c r="AQ36" s="24">
        <v>42.40384615384616</v>
      </c>
      <c r="AR36" s="24">
        <v>36.199095022624427</v>
      </c>
      <c r="AS36" s="27">
        <v>18.375</v>
      </c>
      <c r="AT36" s="88">
        <v>36.677115987460809</v>
      </c>
      <c r="AU36" s="88">
        <v>21.428571428571423</v>
      </c>
      <c r="AV36" s="88">
        <v>28.788544203563966</v>
      </c>
      <c r="AW36" s="98">
        <v>19.767441860465116</v>
      </c>
      <c r="AX36" s="98">
        <v>29.022988505747133</v>
      </c>
      <c r="AY36" s="98">
        <v>19.35483870967742</v>
      </c>
      <c r="AZ36" s="98">
        <v>24.513354459031238</v>
      </c>
      <c r="BA36" s="98">
        <v>11.111111111111107</v>
      </c>
      <c r="BB36" s="98">
        <v>22.478386167146976</v>
      </c>
      <c r="BC36" s="98">
        <v>23.456790123456788</v>
      </c>
      <c r="BD36" s="98">
        <v>31.621621621621621</v>
      </c>
      <c r="BE36" s="109">
        <v>20</v>
      </c>
      <c r="BF36" s="109">
        <v>28</v>
      </c>
      <c r="BH36" s="98">
        <v>18.072289156626503</v>
      </c>
      <c r="BI36" s="98">
        <v>20.053475935828875</v>
      </c>
      <c r="BJ36" s="98">
        <v>22.352941176470587</v>
      </c>
      <c r="BK36" s="98">
        <v>16.494845360824741</v>
      </c>
      <c r="BL36" s="98">
        <v>15.116279069767444</v>
      </c>
      <c r="BM36" s="98">
        <v>16.753926701570684</v>
      </c>
      <c r="BN36" s="98">
        <v>16.43835616438356</v>
      </c>
      <c r="BO36" s="98">
        <v>26.265822784810126</v>
      </c>
      <c r="BP36" s="98">
        <v>8</v>
      </c>
      <c r="BQ36" s="98">
        <v>0</v>
      </c>
      <c r="BR36" s="98">
        <v>0</v>
      </c>
      <c r="BS36" s="98">
        <v>2</v>
      </c>
      <c r="BT36" s="98">
        <v>0</v>
      </c>
      <c r="BU36" s="98">
        <v>5.2631578947368416</v>
      </c>
      <c r="BV36" s="98">
        <v>5.2631578947368425</v>
      </c>
      <c r="BW36" s="98">
        <v>13.207547169811317</v>
      </c>
      <c r="BX36" s="98">
        <v>27.27272727272727</v>
      </c>
      <c r="BY36" s="98">
        <v>18.604651162790699</v>
      </c>
      <c r="BZ36" s="98"/>
      <c r="CA36" s="98"/>
    </row>
    <row r="37" spans="2:79" ht="15" x14ac:dyDescent="0.2">
      <c r="B37" s="2"/>
      <c r="C37" s="2"/>
      <c r="D37" s="2"/>
      <c r="E37" s="83" t="s">
        <v>293</v>
      </c>
      <c r="F37" s="17" t="s">
        <v>234</v>
      </c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42"/>
      <c r="AP37" s="41"/>
      <c r="AQ37" s="24">
        <v>30.28846153846154</v>
      </c>
      <c r="AR37" s="24">
        <v>27.997737556561081</v>
      </c>
      <c r="AS37" s="27">
        <v>15.548076923076923</v>
      </c>
      <c r="AT37" s="88">
        <v>32.667733368164399</v>
      </c>
      <c r="AU37" s="88">
        <v>16.915092483274304</v>
      </c>
      <c r="AV37" s="88">
        <v>21.111599082613573</v>
      </c>
      <c r="AW37" s="98">
        <v>45.752450509321541</v>
      </c>
      <c r="AX37" s="98">
        <v>44.299487897110481</v>
      </c>
      <c r="AY37" s="98">
        <v>43.01075268817204</v>
      </c>
      <c r="AZ37" s="98">
        <v>45.569697391788836</v>
      </c>
      <c r="BA37" s="98">
        <v>34.567901234567891</v>
      </c>
      <c r="BB37" s="98">
        <v>51.296829971181566</v>
      </c>
      <c r="BC37" s="98">
        <v>43.209876543209873</v>
      </c>
      <c r="BD37" s="98">
        <v>46.756756756756758</v>
      </c>
      <c r="BE37" s="109">
        <v>63</v>
      </c>
      <c r="BF37" s="109">
        <v>64</v>
      </c>
      <c r="BH37" s="98">
        <v>45.783132530120483</v>
      </c>
      <c r="BI37" s="98">
        <v>43.048128342245981</v>
      </c>
      <c r="BJ37" s="98">
        <v>55.294117647058819</v>
      </c>
      <c r="BK37" s="98">
        <v>51.804123711340196</v>
      </c>
      <c r="BL37" s="98">
        <v>37.209302325581397</v>
      </c>
      <c r="BM37" s="98">
        <v>54.973821989528801</v>
      </c>
      <c r="BN37" s="98">
        <v>67.123287671232873</v>
      </c>
      <c r="BO37" s="98">
        <v>55.063291139240498</v>
      </c>
      <c r="BP37" s="98">
        <v>23</v>
      </c>
      <c r="BQ37" s="98">
        <v>36</v>
      </c>
      <c r="BR37" s="98">
        <v>0</v>
      </c>
      <c r="BS37" s="98">
        <v>0</v>
      </c>
      <c r="BT37" s="98">
        <v>0</v>
      </c>
      <c r="BU37" s="98">
        <v>3.5087719298245621</v>
      </c>
      <c r="BV37" s="98">
        <v>0</v>
      </c>
      <c r="BW37" s="98">
        <v>0</v>
      </c>
      <c r="BX37" s="98">
        <v>0</v>
      </c>
      <c r="BY37" s="98">
        <v>4.6511627906976747</v>
      </c>
      <c r="BZ37" s="98"/>
      <c r="CA37" s="98"/>
    </row>
    <row r="38" spans="2:79" ht="15.75" thickBot="1" x14ac:dyDescent="0.25">
      <c r="B38" s="2"/>
      <c r="C38" s="2"/>
      <c r="D38" s="2"/>
      <c r="E38" s="83" t="s">
        <v>294</v>
      </c>
      <c r="F38" s="111" t="s">
        <v>277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41"/>
      <c r="AP38" s="41"/>
      <c r="AQ38" s="31">
        <v>24.230769230769234</v>
      </c>
      <c r="AR38" s="24">
        <v>22.171945701357465</v>
      </c>
      <c r="AS38" s="27">
        <v>7.0673076923076925</v>
      </c>
      <c r="AT38" s="88">
        <v>19.749216300940439</v>
      </c>
      <c r="AU38" s="88">
        <v>9.5238095238095255</v>
      </c>
      <c r="AV38" s="88">
        <v>17.992840127227478</v>
      </c>
      <c r="AW38" s="98">
        <v>9.3023255813953494</v>
      </c>
      <c r="AX38" s="98">
        <v>16.428949153895275</v>
      </c>
      <c r="AY38" s="98">
        <v>7.5268817204301079</v>
      </c>
      <c r="AZ38" s="98">
        <v>16.02796253090504</v>
      </c>
      <c r="BA38" s="98">
        <v>7.4074074074074057</v>
      </c>
      <c r="BB38" s="98">
        <v>14.697406340057636</v>
      </c>
      <c r="BC38" s="98">
        <v>13.580246913580247</v>
      </c>
      <c r="BD38" s="98">
        <v>19.459459459459463</v>
      </c>
      <c r="BE38" s="109">
        <v>22</v>
      </c>
      <c r="BF38" s="109">
        <v>18</v>
      </c>
      <c r="BH38" s="98">
        <v>19.277108433734938</v>
      </c>
      <c r="BI38" s="98">
        <v>19.518716577540104</v>
      </c>
      <c r="BJ38" s="98">
        <v>18.823529411764707</v>
      </c>
      <c r="BK38" s="98">
        <v>21.649484536082472</v>
      </c>
      <c r="BL38" s="98">
        <v>24.418604651162788</v>
      </c>
      <c r="BM38" s="98">
        <v>23.298429319371731</v>
      </c>
      <c r="BN38" s="98">
        <v>31.506849315068497</v>
      </c>
      <c r="BO38" s="98">
        <v>25</v>
      </c>
      <c r="BP38" s="98">
        <v>8</v>
      </c>
      <c r="BQ38" s="98">
        <v>9</v>
      </c>
      <c r="BR38" s="98">
        <v>15</v>
      </c>
      <c r="BS38" s="98">
        <v>21</v>
      </c>
      <c r="BT38" s="98">
        <v>30.76923076923077</v>
      </c>
      <c r="BU38" s="98">
        <v>5.2631578947368416</v>
      </c>
      <c r="BV38" s="98">
        <v>0</v>
      </c>
      <c r="BW38" s="98">
        <v>24.528301886792452</v>
      </c>
      <c r="BX38" s="98">
        <v>18.181818181818183</v>
      </c>
      <c r="BY38" s="98">
        <v>11.627906976744185</v>
      </c>
      <c r="BZ38" s="98"/>
      <c r="CA38" s="98"/>
    </row>
    <row r="39" spans="2:79" ht="15.75" thickBot="1" x14ac:dyDescent="0.25">
      <c r="B39" s="2"/>
      <c r="C39" s="2"/>
      <c r="D39" s="2"/>
      <c r="E39" s="83" t="s">
        <v>295</v>
      </c>
      <c r="F39" s="111" t="s">
        <v>53</v>
      </c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41"/>
      <c r="AP39" s="41"/>
      <c r="AQ39" s="25" t="s">
        <v>38</v>
      </c>
      <c r="AR39" s="26" t="s">
        <v>38</v>
      </c>
      <c r="AS39" s="27">
        <v>8.9743589743589727</v>
      </c>
      <c r="AT39" s="89">
        <v>10.751254030440883</v>
      </c>
      <c r="AU39" s="89">
        <v>14.285714285714285</v>
      </c>
      <c r="AV39" s="89">
        <v>23.030835362851175</v>
      </c>
      <c r="AW39" s="98">
        <v>9.3023255813953494</v>
      </c>
      <c r="AX39" s="98">
        <v>25.287356321839084</v>
      </c>
      <c r="AY39" s="98">
        <v>21.50537634408602</v>
      </c>
      <c r="AZ39" s="98">
        <v>12.000000000000002</v>
      </c>
      <c r="BA39" s="98">
        <v>0</v>
      </c>
      <c r="BB39" s="98">
        <v>11.527377521613833</v>
      </c>
      <c r="BC39" s="98">
        <v>4.9382716049382713</v>
      </c>
      <c r="BD39" s="98">
        <v>6.4864864864864868</v>
      </c>
      <c r="BE39" s="109">
        <v>14</v>
      </c>
      <c r="BF39" s="109">
        <v>12</v>
      </c>
      <c r="BH39" s="98">
        <v>13.253012048192769</v>
      </c>
      <c r="BI39" s="98">
        <v>19.518716577540104</v>
      </c>
      <c r="BJ39" s="98">
        <v>9.4117647058823533</v>
      </c>
      <c r="BK39" s="98">
        <v>7.2164948453608231</v>
      </c>
      <c r="BL39" s="98">
        <v>13.953488372093023</v>
      </c>
      <c r="BM39" s="98">
        <v>9.1623036649214669</v>
      </c>
      <c r="BN39" s="98">
        <v>2.7397260273972606</v>
      </c>
      <c r="BO39" s="98">
        <v>11.075949367088608</v>
      </c>
      <c r="BP39" s="98">
        <v>38</v>
      </c>
      <c r="BQ39" s="98">
        <v>11</v>
      </c>
      <c r="BR39" s="98">
        <v>23</v>
      </c>
      <c r="BS39" s="98">
        <v>28</v>
      </c>
      <c r="BT39" s="98">
        <v>23.076923076923073</v>
      </c>
      <c r="BU39" s="98">
        <v>28.070175438596497</v>
      </c>
      <c r="BV39" s="98">
        <v>10.526315789473685</v>
      </c>
      <c r="BW39" s="98">
        <v>28.30188679245283</v>
      </c>
      <c r="BX39" s="98">
        <v>9.0909090909090917</v>
      </c>
      <c r="BY39" s="98">
        <v>46.511627906976742</v>
      </c>
      <c r="BZ39" s="98"/>
      <c r="CA39" s="98"/>
    </row>
    <row r="40" spans="2:79" ht="15" x14ac:dyDescent="0.2">
      <c r="B40" s="2"/>
      <c r="C40" s="2"/>
      <c r="D40" s="2"/>
      <c r="E40" s="46" t="s">
        <v>296</v>
      </c>
      <c r="F40" s="110" t="s">
        <v>238</v>
      </c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41"/>
      <c r="AP40" s="41"/>
      <c r="AQ40" s="41"/>
      <c r="AR40" s="41"/>
      <c r="AS40" s="67"/>
      <c r="AT40" s="67"/>
      <c r="AU40" s="67"/>
      <c r="AV40" s="67"/>
      <c r="BC40" s="93"/>
      <c r="BD40" s="93"/>
      <c r="BP40" s="98">
        <v>31</v>
      </c>
      <c r="BQ40" s="98">
        <v>11</v>
      </c>
      <c r="BR40" s="98">
        <v>8</v>
      </c>
      <c r="BS40" s="98">
        <v>14</v>
      </c>
      <c r="BT40" s="98">
        <v>15.384615384615385</v>
      </c>
      <c r="BU40" s="98">
        <v>10.526315789473683</v>
      </c>
      <c r="BV40" s="98">
        <v>10.526315789473685</v>
      </c>
      <c r="BW40" s="98">
        <v>3.7735849056603774</v>
      </c>
      <c r="BX40" s="98">
        <v>27.27272727272727</v>
      </c>
      <c r="BY40" s="98">
        <v>32.558139534883715</v>
      </c>
      <c r="BZ40" s="98"/>
      <c r="CA40" s="98"/>
    </row>
    <row r="41" spans="2:79" ht="15" x14ac:dyDescent="0.2">
      <c r="B41" s="2"/>
      <c r="C41" s="2"/>
      <c r="D41" s="2"/>
      <c r="E41" s="46" t="s">
        <v>297</v>
      </c>
      <c r="F41" s="110" t="s">
        <v>235</v>
      </c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41"/>
      <c r="AP41" s="41"/>
      <c r="AQ41" s="41"/>
      <c r="AR41" s="41"/>
      <c r="AS41" s="67"/>
      <c r="AT41" s="67"/>
      <c r="AU41" s="67"/>
      <c r="AV41" s="67"/>
      <c r="BC41" s="93"/>
      <c r="BD41" s="93"/>
      <c r="BP41" s="98">
        <v>0</v>
      </c>
      <c r="BQ41" s="98">
        <v>4</v>
      </c>
      <c r="BR41" s="98">
        <v>0</v>
      </c>
      <c r="BS41" s="98">
        <v>0</v>
      </c>
      <c r="BT41" s="98">
        <v>0</v>
      </c>
      <c r="BU41" s="98">
        <v>1.754385964912281</v>
      </c>
      <c r="BV41" s="98">
        <v>0</v>
      </c>
      <c r="BW41" s="98">
        <v>0</v>
      </c>
      <c r="BX41" s="98">
        <v>0</v>
      </c>
      <c r="BY41" s="98">
        <v>0</v>
      </c>
      <c r="BZ41" s="98"/>
      <c r="CA41" s="98"/>
    </row>
    <row r="42" spans="2:79" ht="15" x14ac:dyDescent="0.2">
      <c r="B42" s="2"/>
      <c r="C42" s="2"/>
      <c r="D42" s="2"/>
      <c r="E42" s="46" t="s">
        <v>298</v>
      </c>
      <c r="F42" s="110" t="s">
        <v>236</v>
      </c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41"/>
      <c r="AP42" s="41"/>
      <c r="AQ42" s="41"/>
      <c r="AR42" s="41"/>
      <c r="AS42" s="67"/>
      <c r="AT42" s="67"/>
      <c r="AU42" s="67"/>
      <c r="AV42" s="67"/>
      <c r="BC42" s="67"/>
      <c r="BD42" s="67"/>
      <c r="BP42" s="98">
        <v>8</v>
      </c>
      <c r="BQ42" s="98">
        <v>16</v>
      </c>
      <c r="BR42" s="98">
        <v>8</v>
      </c>
      <c r="BS42" s="98">
        <v>26</v>
      </c>
      <c r="BT42" s="98">
        <v>15.384615384615385</v>
      </c>
      <c r="BU42" s="98">
        <v>17.543859649122805</v>
      </c>
      <c r="BV42" s="98">
        <v>10.526315789473685</v>
      </c>
      <c r="BW42" s="98">
        <v>15.09433962264151</v>
      </c>
      <c r="BX42" s="98">
        <v>0</v>
      </c>
      <c r="BY42" s="98">
        <v>20.930232558139537</v>
      </c>
      <c r="BZ42" s="98"/>
      <c r="CA42" s="98"/>
    </row>
    <row r="43" spans="2:79" ht="15" x14ac:dyDescent="0.2">
      <c r="B43" s="2"/>
      <c r="C43" s="2"/>
      <c r="D43" s="2"/>
      <c r="E43" s="46" t="s">
        <v>299</v>
      </c>
      <c r="F43" s="110" t="s">
        <v>246</v>
      </c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41"/>
      <c r="AP43" s="41"/>
      <c r="AQ43" s="41"/>
      <c r="AR43" s="41"/>
      <c r="AS43" s="67"/>
      <c r="AT43" s="67"/>
      <c r="AU43" s="67"/>
      <c r="AV43" s="67"/>
      <c r="BC43" s="67"/>
      <c r="BD43" s="67"/>
      <c r="BP43" s="98">
        <v>62</v>
      </c>
      <c r="BQ43" s="98">
        <v>55</v>
      </c>
      <c r="BR43" s="98">
        <v>31</v>
      </c>
      <c r="BS43" s="98">
        <v>86</v>
      </c>
      <c r="BT43" s="98">
        <v>23.076923076923073</v>
      </c>
      <c r="BU43" s="98">
        <v>47.368421052631568</v>
      </c>
      <c r="BV43" s="98">
        <v>42.10526315789474</v>
      </c>
      <c r="BW43" s="98">
        <v>47.169811320754718</v>
      </c>
      <c r="BX43" s="98">
        <v>36.363636363636367</v>
      </c>
      <c r="BY43" s="98">
        <v>72.093023255813961</v>
      </c>
      <c r="BZ43" s="98"/>
      <c r="CA43" s="98"/>
    </row>
    <row r="44" spans="2:79" ht="15.75" thickBot="1" x14ac:dyDescent="0.25">
      <c r="B44" s="2"/>
      <c r="C44" s="2"/>
      <c r="D44" s="2"/>
      <c r="E44" s="46"/>
      <c r="F44" s="21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43"/>
      <c r="AP44" s="43"/>
      <c r="AQ44" s="43"/>
      <c r="AR44" s="43"/>
      <c r="AS44" s="72"/>
      <c r="AT44" s="72"/>
      <c r="AU44" s="72"/>
      <c r="AV44" s="72"/>
      <c r="BC44" s="72"/>
      <c r="BD44" s="72"/>
    </row>
    <row r="45" spans="2:79" x14ac:dyDescent="0.2">
      <c r="B45" s="2"/>
      <c r="C45" s="2"/>
      <c r="D45" s="2"/>
    </row>
    <row r="46" spans="2:79" x14ac:dyDescent="0.2">
      <c r="B46" s="2"/>
      <c r="C46" s="2"/>
      <c r="D46" s="2"/>
      <c r="E46" s="2"/>
    </row>
    <row r="47" spans="2:79" x14ac:dyDescent="0.2">
      <c r="B47" s="2"/>
      <c r="C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2:79" x14ac:dyDescent="0.2">
      <c r="B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2:23" x14ac:dyDescent="0.2">
      <c r="B49" s="2"/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2:23" x14ac:dyDescent="0.2">
      <c r="B50" s="2"/>
      <c r="C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2:23" x14ac:dyDescent="0.2">
      <c r="B51" s="2"/>
      <c r="C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2:23" x14ac:dyDescent="0.2">
      <c r="B52" s="2"/>
      <c r="C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2:23" x14ac:dyDescent="0.2">
      <c r="B53" s="2"/>
      <c r="C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2:23" x14ac:dyDescent="0.2">
      <c r="B54" s="2"/>
      <c r="C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2:23" x14ac:dyDescent="0.2">
      <c r="B55" s="2"/>
      <c r="C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2:23" x14ac:dyDescent="0.2">
      <c r="B56" s="2"/>
      <c r="C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2:23" x14ac:dyDescent="0.2">
      <c r="B57" s="2"/>
      <c r="C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2:23" x14ac:dyDescent="0.2">
      <c r="B58" s="2"/>
      <c r="C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2:23" x14ac:dyDescent="0.2">
      <c r="B59" s="2"/>
      <c r="C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2:23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2:23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2:23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2:23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2:23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2:23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2:23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2:23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</sheetData>
  <mergeCells count="64">
    <mergeCell ref="BE24:BF24"/>
    <mergeCell ref="AM24:AN24"/>
    <mergeCell ref="AF4:AF22"/>
    <mergeCell ref="AH4:AH22"/>
    <mergeCell ref="BC24:BD24"/>
    <mergeCell ref="BL24:BM24"/>
    <mergeCell ref="AW24:AX24"/>
    <mergeCell ref="AQ24:AR24"/>
    <mergeCell ref="Z4:Z22"/>
    <mergeCell ref="AB4:AB22"/>
    <mergeCell ref="BH24:BI24"/>
    <mergeCell ref="AO24:AP24"/>
    <mergeCell ref="AV4:AV22"/>
    <mergeCell ref="AU24:AV24"/>
    <mergeCell ref="AP4:AP22"/>
    <mergeCell ref="AR4:AR22"/>
    <mergeCell ref="AT4:AT22"/>
    <mergeCell ref="AZ4:AZ22"/>
    <mergeCell ref="AY24:AZ24"/>
    <mergeCell ref="AX4:AX22"/>
    <mergeCell ref="A24:B24"/>
    <mergeCell ref="C24:D24"/>
    <mergeCell ref="G24:H24"/>
    <mergeCell ref="I24:J24"/>
    <mergeCell ref="K24:L24"/>
    <mergeCell ref="H4:H22"/>
    <mergeCell ref="J4:J22"/>
    <mergeCell ref="L4:L22"/>
    <mergeCell ref="N4:N22"/>
    <mergeCell ref="P4:P22"/>
    <mergeCell ref="R4:R22"/>
    <mergeCell ref="AD4:AD22"/>
    <mergeCell ref="T4:T22"/>
    <mergeCell ref="V4:V22"/>
    <mergeCell ref="X4:X22"/>
    <mergeCell ref="Y24:Z24"/>
    <mergeCell ref="BE4:BE22"/>
    <mergeCell ref="BZ24:CA24"/>
    <mergeCell ref="BP24:BQ24"/>
    <mergeCell ref="BR24:BS24"/>
    <mergeCell ref="BN24:BO24"/>
    <mergeCell ref="BX24:BY24"/>
    <mergeCell ref="BV24:BW24"/>
    <mergeCell ref="BT24:BU24"/>
    <mergeCell ref="BJ24:BK24"/>
    <mergeCell ref="AJ4:AJ22"/>
    <mergeCell ref="BC4:BC22"/>
    <mergeCell ref="BA24:BB24"/>
    <mergeCell ref="BA4:BA22"/>
    <mergeCell ref="AL4:AL22"/>
    <mergeCell ref="AN4:AN22"/>
    <mergeCell ref="U24:V24"/>
    <mergeCell ref="W24:X24"/>
    <mergeCell ref="M24:N24"/>
    <mergeCell ref="O24:P24"/>
    <mergeCell ref="Q24:R24"/>
    <mergeCell ref="S24:T24"/>
    <mergeCell ref="AS24:AT24"/>
    <mergeCell ref="AA24:AB24"/>
    <mergeCell ref="AG24:AH24"/>
    <mergeCell ref="AC24:AD24"/>
    <mergeCell ref="AE24:AF24"/>
    <mergeCell ref="AI24:AJ24"/>
    <mergeCell ref="AK24:AL24"/>
  </mergeCells>
  <conditionalFormatting sqref="AY4:AY17">
    <cfRule type="cellIs" dxfId="16" priority="33" operator="greaterThan">
      <formula>70</formula>
    </cfRule>
  </conditionalFormatting>
  <conditionalFormatting sqref="AY26:BD39">
    <cfRule type="cellIs" dxfId="15" priority="28" operator="greaterThan">
      <formula>70</formula>
    </cfRule>
  </conditionalFormatting>
  <conditionalFormatting sqref="BB4:BB18">
    <cfRule type="cellIs" dxfId="14" priority="31" operator="greaterThan">
      <formula>70</formula>
    </cfRule>
  </conditionalFormatting>
  <conditionalFormatting sqref="BD4:BD17">
    <cfRule type="cellIs" dxfId="13" priority="29" operator="greaterThan">
      <formula>70</formula>
    </cfRule>
  </conditionalFormatting>
  <conditionalFormatting sqref="BH4:BH17">
    <cfRule type="cellIs" dxfId="12" priority="27" operator="greaterThan">
      <formula>70</formula>
    </cfRule>
  </conditionalFormatting>
  <conditionalFormatting sqref="BH26:BO39">
    <cfRule type="cellIs" dxfId="11" priority="17" operator="greaterThan">
      <formula>70</formula>
    </cfRule>
  </conditionalFormatting>
  <conditionalFormatting sqref="BJ4:BJ17">
    <cfRule type="cellIs" dxfId="10" priority="24" operator="greaterThan">
      <formula>70</formula>
    </cfRule>
  </conditionalFormatting>
  <conditionalFormatting sqref="BL4:BL17">
    <cfRule type="cellIs" dxfId="9" priority="20" operator="greaterThan">
      <formula>70</formula>
    </cfRule>
  </conditionalFormatting>
  <conditionalFormatting sqref="BN4:BN21">
    <cfRule type="cellIs" dxfId="8" priority="18" operator="greaterThan">
      <formula>70</formula>
    </cfRule>
  </conditionalFormatting>
  <conditionalFormatting sqref="BP4:BP21">
    <cfRule type="cellIs" dxfId="7" priority="16" operator="greaterThan">
      <formula>70</formula>
    </cfRule>
  </conditionalFormatting>
  <conditionalFormatting sqref="BP26:CA43">
    <cfRule type="cellIs" dxfId="6" priority="1" operator="greaterThan">
      <formula>70</formula>
    </cfRule>
  </conditionalFormatting>
  <conditionalFormatting sqref="BR4:BR21">
    <cfRule type="cellIs" dxfId="5" priority="11" operator="greaterThan">
      <formula>70</formula>
    </cfRule>
  </conditionalFormatting>
  <conditionalFormatting sqref="BT4:BT21">
    <cfRule type="cellIs" dxfId="4" priority="10" operator="greaterThan">
      <formula>70</formula>
    </cfRule>
  </conditionalFormatting>
  <conditionalFormatting sqref="BV4:BV21">
    <cfRule type="cellIs" dxfId="3" priority="6" operator="greaterThan">
      <formula>70</formula>
    </cfRule>
  </conditionalFormatting>
  <conditionalFormatting sqref="BX4:BX21">
    <cfRule type="cellIs" dxfId="2" priority="3" operator="greaterThan">
      <formula>70</formula>
    </cfRule>
  </conditionalFormatting>
  <pageMargins left="0.75" right="0.75" top="1" bottom="1" header="0.5" footer="0.5"/>
  <pageSetup paperSize="9" scale="75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I23"/>
  <sheetViews>
    <sheetView rightToLeft="1" zoomScale="120" zoomScaleNormal="120" workbookViewId="0">
      <pane xSplit="1" ySplit="5" topLeftCell="GW6" activePane="bottomRight" state="frozen"/>
      <selection pane="topRight" activeCell="B1" sqref="B1"/>
      <selection pane="bottomLeft" activeCell="A6" sqref="A6"/>
      <selection pane="bottomRight" activeCell="HD6" sqref="HD6"/>
    </sheetView>
  </sheetViews>
  <sheetFormatPr defaultRowHeight="15" x14ac:dyDescent="0.25"/>
  <cols>
    <col min="1" max="1" width="34" bestFit="1" customWidth="1"/>
    <col min="2" max="7" width="9.140625" customWidth="1"/>
  </cols>
  <sheetData>
    <row r="1" spans="1:217" s="63" customFormat="1" ht="21" x14ac:dyDescent="0.35">
      <c r="B1" s="139" t="s">
        <v>94</v>
      </c>
      <c r="C1" s="139"/>
      <c r="D1" s="139"/>
      <c r="E1" s="139"/>
      <c r="F1" s="139"/>
      <c r="G1" s="139"/>
      <c r="H1" s="139" t="s">
        <v>95</v>
      </c>
      <c r="I1" s="139"/>
      <c r="J1" s="139"/>
      <c r="K1" s="139"/>
      <c r="L1" s="139"/>
      <c r="M1" s="139"/>
      <c r="N1" s="139" t="s">
        <v>96</v>
      </c>
      <c r="O1" s="139"/>
      <c r="P1" s="139"/>
      <c r="Q1" s="139"/>
      <c r="R1" s="139"/>
      <c r="S1" s="139"/>
      <c r="T1" s="139" t="s">
        <v>97</v>
      </c>
      <c r="U1" s="139"/>
      <c r="V1" s="139"/>
      <c r="W1" s="139"/>
      <c r="X1" s="139"/>
      <c r="Y1" s="139"/>
      <c r="Z1" s="139" t="s">
        <v>98</v>
      </c>
      <c r="AA1" s="139"/>
      <c r="AB1" s="139"/>
      <c r="AC1" s="139"/>
      <c r="AD1" s="139"/>
      <c r="AE1" s="139"/>
      <c r="AF1" s="139" t="s">
        <v>99</v>
      </c>
      <c r="AG1" s="139"/>
      <c r="AH1" s="139"/>
      <c r="AI1" s="139"/>
      <c r="AJ1" s="139"/>
      <c r="AK1" s="139"/>
      <c r="AL1" s="139" t="s">
        <v>100</v>
      </c>
      <c r="AM1" s="139"/>
      <c r="AN1" s="139"/>
      <c r="AO1" s="139"/>
      <c r="AP1" s="139"/>
      <c r="AQ1" s="139"/>
      <c r="AR1" s="139" t="s">
        <v>101</v>
      </c>
      <c r="AS1" s="139"/>
      <c r="AT1" s="139"/>
      <c r="AU1" s="139"/>
      <c r="AV1" s="139"/>
      <c r="AW1" s="139"/>
      <c r="AX1" s="139" t="s">
        <v>102</v>
      </c>
      <c r="AY1" s="139"/>
      <c r="AZ1" s="139"/>
      <c r="BA1" s="139"/>
      <c r="BB1" s="139"/>
      <c r="BC1" s="139"/>
      <c r="BD1" s="139" t="s">
        <v>103</v>
      </c>
      <c r="BE1" s="139"/>
      <c r="BF1" s="139"/>
      <c r="BG1" s="139"/>
      <c r="BH1" s="139"/>
      <c r="BI1" s="139"/>
      <c r="BJ1" s="139" t="s">
        <v>104</v>
      </c>
      <c r="BK1" s="139"/>
      <c r="BL1" s="139"/>
      <c r="BM1" s="139"/>
      <c r="BN1" s="139"/>
      <c r="BO1" s="139"/>
      <c r="BP1" s="139" t="s">
        <v>105</v>
      </c>
      <c r="BQ1" s="139"/>
      <c r="BR1" s="139"/>
      <c r="BS1" s="139"/>
      <c r="BT1" s="139"/>
      <c r="BU1" s="139"/>
      <c r="BV1" s="139" t="s">
        <v>106</v>
      </c>
      <c r="BW1" s="139"/>
      <c r="BX1" s="139"/>
      <c r="BY1" s="139"/>
      <c r="BZ1" s="139"/>
      <c r="CA1" s="139"/>
      <c r="CB1" s="139" t="s">
        <v>107</v>
      </c>
      <c r="CC1" s="139"/>
      <c r="CD1" s="139"/>
      <c r="CE1" s="139"/>
      <c r="CF1" s="139"/>
      <c r="CG1" s="139"/>
      <c r="CH1" s="139" t="s">
        <v>108</v>
      </c>
      <c r="CI1" s="139"/>
      <c r="CJ1" s="139"/>
      <c r="CK1" s="139"/>
      <c r="CL1" s="139"/>
      <c r="CM1" s="139"/>
      <c r="CN1" s="139" t="s">
        <v>109</v>
      </c>
      <c r="CO1" s="139"/>
      <c r="CP1" s="139"/>
      <c r="CQ1" s="139"/>
      <c r="CR1" s="139"/>
      <c r="CS1" s="139"/>
      <c r="CT1" s="139" t="s">
        <v>110</v>
      </c>
      <c r="CU1" s="139"/>
      <c r="CV1" s="139"/>
      <c r="CW1" s="139"/>
      <c r="CX1" s="139"/>
      <c r="CY1" s="139"/>
      <c r="CZ1" s="139" t="s">
        <v>111</v>
      </c>
      <c r="DA1" s="139"/>
      <c r="DB1" s="139"/>
      <c r="DC1" s="139"/>
      <c r="DD1" s="139"/>
      <c r="DE1" s="139"/>
      <c r="DF1" s="139" t="s">
        <v>51</v>
      </c>
      <c r="DG1" s="139"/>
      <c r="DH1" s="139"/>
      <c r="DI1" s="139"/>
      <c r="DJ1" s="139"/>
      <c r="DK1" s="139"/>
      <c r="DL1" s="139" t="s">
        <v>112</v>
      </c>
      <c r="DM1" s="139"/>
      <c r="DN1" s="139"/>
      <c r="DO1" s="139"/>
      <c r="DP1" s="139"/>
      <c r="DQ1" s="139"/>
      <c r="DR1" s="139" t="s">
        <v>156</v>
      </c>
      <c r="DS1" s="139"/>
      <c r="DT1" s="139"/>
      <c r="DU1" s="139"/>
      <c r="DV1" s="139"/>
      <c r="DW1" s="139"/>
      <c r="DX1" s="139" t="s">
        <v>159</v>
      </c>
      <c r="DY1" s="139"/>
      <c r="DZ1" s="139"/>
      <c r="EA1" s="139"/>
      <c r="EB1" s="139"/>
      <c r="EC1" s="139"/>
      <c r="ED1" s="139" t="s">
        <v>170</v>
      </c>
      <c r="EE1" s="139"/>
      <c r="EF1" s="139"/>
      <c r="EG1" s="139"/>
      <c r="EH1" s="139"/>
      <c r="EI1" s="139"/>
      <c r="EJ1" s="139" t="s">
        <v>177</v>
      </c>
      <c r="EK1" s="139"/>
      <c r="EL1" s="139"/>
      <c r="EM1" s="139"/>
      <c r="EN1" s="139"/>
      <c r="EO1" s="139"/>
      <c r="EP1" s="139" t="s">
        <v>180</v>
      </c>
      <c r="EQ1" s="139"/>
      <c r="ER1" s="139"/>
      <c r="ES1" s="139"/>
      <c r="ET1" s="139"/>
      <c r="EU1" s="139"/>
      <c r="EV1" s="139" t="s">
        <v>194</v>
      </c>
      <c r="EW1" s="139"/>
      <c r="EX1" s="139"/>
      <c r="EY1" s="139"/>
      <c r="EZ1" s="139"/>
      <c r="FA1" s="139"/>
      <c r="FB1" s="139" t="s">
        <v>192</v>
      </c>
      <c r="FC1" s="139"/>
      <c r="FD1" s="139"/>
      <c r="FE1" s="139"/>
      <c r="FF1" s="139"/>
      <c r="FG1" s="139"/>
      <c r="FH1" s="139" t="s">
        <v>199</v>
      </c>
      <c r="FI1" s="139"/>
      <c r="FJ1" s="139"/>
      <c r="FK1" s="139"/>
      <c r="FL1" s="139"/>
      <c r="FM1" s="139"/>
      <c r="FN1" s="139" t="s">
        <v>205</v>
      </c>
      <c r="FO1" s="139"/>
      <c r="FP1" s="139"/>
      <c r="FQ1" s="139"/>
      <c r="FR1" s="139"/>
      <c r="FS1" s="139"/>
      <c r="FT1" s="139" t="s">
        <v>227</v>
      </c>
      <c r="FU1" s="139"/>
      <c r="FV1" s="139"/>
      <c r="FW1" s="139"/>
      <c r="FX1" s="139"/>
      <c r="FY1" s="139"/>
      <c r="FZ1" s="139" t="s">
        <v>228</v>
      </c>
      <c r="GA1" s="139"/>
      <c r="GB1" s="139"/>
      <c r="GC1" s="139"/>
      <c r="GD1" s="139"/>
      <c r="GE1" s="139"/>
      <c r="GF1" s="139" t="s">
        <v>199</v>
      </c>
      <c r="GG1" s="139"/>
      <c r="GH1" s="139"/>
      <c r="GI1" s="139"/>
      <c r="GJ1" s="139"/>
      <c r="GK1" s="139"/>
      <c r="GL1" s="139" t="s">
        <v>252</v>
      </c>
      <c r="GM1" s="139"/>
      <c r="GN1" s="139"/>
      <c r="GO1" s="139"/>
      <c r="GP1" s="139"/>
      <c r="GQ1" s="139"/>
      <c r="GR1" s="139" t="s">
        <v>258</v>
      </c>
      <c r="GS1" s="139"/>
      <c r="GT1" s="139"/>
      <c r="GU1" s="139"/>
      <c r="GV1" s="139"/>
      <c r="GW1" s="139"/>
      <c r="GX1" s="139" t="s">
        <v>302</v>
      </c>
      <c r="GY1" s="139"/>
      <c r="GZ1" s="139"/>
      <c r="HA1" s="139"/>
      <c r="HB1" s="139"/>
      <c r="HC1" s="139"/>
      <c r="HD1" s="139" t="s">
        <v>302</v>
      </c>
      <c r="HE1" s="139"/>
      <c r="HF1" s="139"/>
      <c r="HG1" s="139"/>
      <c r="HH1" s="139"/>
      <c r="HI1" s="139"/>
    </row>
    <row r="2" spans="1:217" s="58" customFormat="1" x14ac:dyDescent="0.25"/>
    <row r="3" spans="1:217" s="58" customFormat="1" x14ac:dyDescent="0.25"/>
    <row r="4" spans="1:217" s="58" customFormat="1" x14ac:dyDescent="0.25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FB4" s="59"/>
      <c r="FC4" s="59"/>
      <c r="FD4" s="59"/>
      <c r="FE4" s="59"/>
      <c r="FF4" s="59"/>
      <c r="FG4" s="59"/>
    </row>
    <row r="5" spans="1:217" s="58" customFormat="1" ht="38.25" x14ac:dyDescent="0.25">
      <c r="A5" s="60"/>
      <c r="B5" s="61" t="s">
        <v>26</v>
      </c>
      <c r="C5" s="61" t="s">
        <v>27</v>
      </c>
      <c r="D5" s="61" t="s">
        <v>28</v>
      </c>
      <c r="E5" s="61" t="s">
        <v>29</v>
      </c>
      <c r="F5" s="61" t="s">
        <v>30</v>
      </c>
      <c r="G5" s="62" t="s">
        <v>31</v>
      </c>
      <c r="H5" s="61" t="s">
        <v>26</v>
      </c>
      <c r="I5" s="61" t="s">
        <v>27</v>
      </c>
      <c r="J5" s="61" t="s">
        <v>28</v>
      </c>
      <c r="K5" s="61" t="s">
        <v>29</v>
      </c>
      <c r="L5" s="61" t="s">
        <v>30</v>
      </c>
      <c r="M5" s="62" t="s">
        <v>31</v>
      </c>
      <c r="N5" s="61" t="s">
        <v>26</v>
      </c>
      <c r="O5" s="61" t="s">
        <v>27</v>
      </c>
      <c r="P5" s="61" t="s">
        <v>28</v>
      </c>
      <c r="Q5" s="61" t="s">
        <v>29</v>
      </c>
      <c r="R5" s="61" t="s">
        <v>30</v>
      </c>
      <c r="S5" s="62" t="s">
        <v>31</v>
      </c>
      <c r="T5" s="61" t="s">
        <v>26</v>
      </c>
      <c r="U5" s="61" t="s">
        <v>27</v>
      </c>
      <c r="V5" s="61" t="s">
        <v>28</v>
      </c>
      <c r="W5" s="61" t="s">
        <v>29</v>
      </c>
      <c r="X5" s="61" t="s">
        <v>30</v>
      </c>
      <c r="Y5" s="62" t="s">
        <v>31</v>
      </c>
      <c r="Z5" s="61" t="s">
        <v>26</v>
      </c>
      <c r="AA5" s="61" t="s">
        <v>27</v>
      </c>
      <c r="AB5" s="61" t="s">
        <v>28</v>
      </c>
      <c r="AC5" s="61" t="s">
        <v>29</v>
      </c>
      <c r="AD5" s="61" t="s">
        <v>30</v>
      </c>
      <c r="AE5" s="62" t="s">
        <v>31</v>
      </c>
      <c r="AF5" s="61" t="s">
        <v>26</v>
      </c>
      <c r="AG5" s="61" t="s">
        <v>27</v>
      </c>
      <c r="AH5" s="61" t="s">
        <v>28</v>
      </c>
      <c r="AI5" s="61" t="s">
        <v>29</v>
      </c>
      <c r="AJ5" s="61" t="s">
        <v>30</v>
      </c>
      <c r="AK5" s="62" t="s">
        <v>31</v>
      </c>
      <c r="AL5" s="61" t="s">
        <v>26</v>
      </c>
      <c r="AM5" s="61" t="s">
        <v>27</v>
      </c>
      <c r="AN5" s="61" t="s">
        <v>28</v>
      </c>
      <c r="AO5" s="61" t="s">
        <v>29</v>
      </c>
      <c r="AP5" s="61" t="s">
        <v>30</v>
      </c>
      <c r="AQ5" s="62" t="s">
        <v>31</v>
      </c>
      <c r="AR5" s="61" t="s">
        <v>26</v>
      </c>
      <c r="AS5" s="61" t="s">
        <v>27</v>
      </c>
      <c r="AT5" s="61" t="s">
        <v>28</v>
      </c>
      <c r="AU5" s="61" t="s">
        <v>29</v>
      </c>
      <c r="AV5" s="61" t="s">
        <v>30</v>
      </c>
      <c r="AW5" s="62" t="s">
        <v>31</v>
      </c>
      <c r="AX5" s="61" t="s">
        <v>26</v>
      </c>
      <c r="AY5" s="61" t="s">
        <v>27</v>
      </c>
      <c r="AZ5" s="61" t="s">
        <v>28</v>
      </c>
      <c r="BA5" s="61" t="s">
        <v>29</v>
      </c>
      <c r="BB5" s="61" t="s">
        <v>30</v>
      </c>
      <c r="BC5" s="62" t="s">
        <v>31</v>
      </c>
      <c r="BD5" s="61" t="s">
        <v>26</v>
      </c>
      <c r="BE5" s="61" t="s">
        <v>27</v>
      </c>
      <c r="BF5" s="61" t="s">
        <v>28</v>
      </c>
      <c r="BG5" s="61" t="s">
        <v>29</v>
      </c>
      <c r="BH5" s="61" t="s">
        <v>30</v>
      </c>
      <c r="BI5" s="62" t="s">
        <v>31</v>
      </c>
      <c r="BJ5" s="61" t="s">
        <v>26</v>
      </c>
      <c r="BK5" s="61" t="s">
        <v>27</v>
      </c>
      <c r="BL5" s="61" t="s">
        <v>28</v>
      </c>
      <c r="BM5" s="61" t="s">
        <v>29</v>
      </c>
      <c r="BN5" s="61" t="s">
        <v>30</v>
      </c>
      <c r="BO5" s="62" t="s">
        <v>31</v>
      </c>
      <c r="BP5" s="61" t="s">
        <v>26</v>
      </c>
      <c r="BQ5" s="61" t="s">
        <v>27</v>
      </c>
      <c r="BR5" s="61" t="s">
        <v>28</v>
      </c>
      <c r="BS5" s="61" t="s">
        <v>29</v>
      </c>
      <c r="BT5" s="61" t="s">
        <v>30</v>
      </c>
      <c r="BU5" s="62" t="s">
        <v>31</v>
      </c>
      <c r="BV5" s="61" t="s">
        <v>26</v>
      </c>
      <c r="BW5" s="61" t="s">
        <v>27</v>
      </c>
      <c r="BX5" s="61" t="s">
        <v>28</v>
      </c>
      <c r="BY5" s="61" t="s">
        <v>29</v>
      </c>
      <c r="BZ5" s="61" t="s">
        <v>30</v>
      </c>
      <c r="CA5" s="62" t="s">
        <v>31</v>
      </c>
      <c r="CB5" s="61" t="s">
        <v>26</v>
      </c>
      <c r="CC5" s="61" t="s">
        <v>27</v>
      </c>
      <c r="CD5" s="61" t="s">
        <v>28</v>
      </c>
      <c r="CE5" s="61" t="s">
        <v>29</v>
      </c>
      <c r="CF5" s="61" t="s">
        <v>30</v>
      </c>
      <c r="CG5" s="62" t="s">
        <v>31</v>
      </c>
      <c r="CH5" s="61" t="s">
        <v>26</v>
      </c>
      <c r="CI5" s="61" t="s">
        <v>27</v>
      </c>
      <c r="CJ5" s="61" t="s">
        <v>28</v>
      </c>
      <c r="CK5" s="61" t="s">
        <v>29</v>
      </c>
      <c r="CL5" s="61" t="s">
        <v>30</v>
      </c>
      <c r="CM5" s="62" t="s">
        <v>31</v>
      </c>
      <c r="CN5" s="61" t="s">
        <v>26</v>
      </c>
      <c r="CO5" s="61" t="s">
        <v>27</v>
      </c>
      <c r="CP5" s="61" t="s">
        <v>28</v>
      </c>
      <c r="CQ5" s="61" t="s">
        <v>29</v>
      </c>
      <c r="CR5" s="61" t="s">
        <v>30</v>
      </c>
      <c r="CS5" s="62" t="s">
        <v>31</v>
      </c>
      <c r="CT5" s="61" t="s">
        <v>26</v>
      </c>
      <c r="CU5" s="61" t="s">
        <v>27</v>
      </c>
      <c r="CV5" s="61" t="s">
        <v>28</v>
      </c>
      <c r="CW5" s="61" t="s">
        <v>29</v>
      </c>
      <c r="CX5" s="61" t="s">
        <v>30</v>
      </c>
      <c r="CY5" s="62" t="s">
        <v>31</v>
      </c>
      <c r="CZ5" s="61" t="s">
        <v>26</v>
      </c>
      <c r="DA5" s="61" t="s">
        <v>27</v>
      </c>
      <c r="DB5" s="61" t="s">
        <v>28</v>
      </c>
      <c r="DC5" s="61" t="s">
        <v>29</v>
      </c>
      <c r="DD5" s="61" t="s">
        <v>30</v>
      </c>
      <c r="DE5" s="62" t="s">
        <v>31</v>
      </c>
      <c r="DF5" s="61" t="s">
        <v>26</v>
      </c>
      <c r="DG5" s="61" t="s">
        <v>27</v>
      </c>
      <c r="DH5" s="61" t="s">
        <v>28</v>
      </c>
      <c r="DI5" s="61" t="s">
        <v>29</v>
      </c>
      <c r="DJ5" s="61" t="s">
        <v>30</v>
      </c>
      <c r="DK5" s="62" t="s">
        <v>31</v>
      </c>
      <c r="DL5" s="61" t="s">
        <v>26</v>
      </c>
      <c r="DM5" s="61" t="s">
        <v>27</v>
      </c>
      <c r="DN5" s="61" t="s">
        <v>28</v>
      </c>
      <c r="DO5" s="61" t="s">
        <v>29</v>
      </c>
      <c r="DP5" s="61" t="s">
        <v>30</v>
      </c>
      <c r="DQ5" s="62" t="s">
        <v>31</v>
      </c>
      <c r="DR5" s="61" t="s">
        <v>26</v>
      </c>
      <c r="DS5" s="61" t="s">
        <v>27</v>
      </c>
      <c r="DT5" s="61" t="s">
        <v>28</v>
      </c>
      <c r="DU5" s="61" t="s">
        <v>29</v>
      </c>
      <c r="DV5" s="61" t="s">
        <v>30</v>
      </c>
      <c r="DW5" s="62" t="s">
        <v>31</v>
      </c>
      <c r="DX5" s="61" t="s">
        <v>26</v>
      </c>
      <c r="DY5" s="61" t="s">
        <v>27</v>
      </c>
      <c r="DZ5" s="61" t="s">
        <v>28</v>
      </c>
      <c r="EA5" s="61" t="s">
        <v>29</v>
      </c>
      <c r="EB5" s="61" t="s">
        <v>30</v>
      </c>
      <c r="EC5" s="62" t="s">
        <v>31</v>
      </c>
      <c r="ED5" s="61" t="s">
        <v>26</v>
      </c>
      <c r="EE5" s="61" t="s">
        <v>27</v>
      </c>
      <c r="EF5" s="61" t="s">
        <v>28</v>
      </c>
      <c r="EG5" s="61" t="s">
        <v>29</v>
      </c>
      <c r="EH5" s="61" t="s">
        <v>30</v>
      </c>
      <c r="EI5" s="62" t="s">
        <v>31</v>
      </c>
      <c r="EJ5" s="61" t="s">
        <v>26</v>
      </c>
      <c r="EK5" s="61" t="s">
        <v>27</v>
      </c>
      <c r="EL5" s="61" t="s">
        <v>28</v>
      </c>
      <c r="EM5" s="61" t="s">
        <v>29</v>
      </c>
      <c r="EN5" s="61" t="s">
        <v>30</v>
      </c>
      <c r="EO5" s="62" t="s">
        <v>31</v>
      </c>
      <c r="EP5" s="61" t="s">
        <v>26</v>
      </c>
      <c r="EQ5" s="61" t="s">
        <v>27</v>
      </c>
      <c r="ER5" s="61" t="s">
        <v>28</v>
      </c>
      <c r="ES5" s="61" t="s">
        <v>29</v>
      </c>
      <c r="ET5" s="61" t="s">
        <v>30</v>
      </c>
      <c r="EU5" s="62" t="s">
        <v>31</v>
      </c>
      <c r="EV5" s="61" t="s">
        <v>26</v>
      </c>
      <c r="EW5" s="61" t="s">
        <v>27</v>
      </c>
      <c r="EX5" s="61" t="s">
        <v>28</v>
      </c>
      <c r="EY5" s="61" t="s">
        <v>29</v>
      </c>
      <c r="EZ5" s="61" t="s">
        <v>30</v>
      </c>
      <c r="FA5" s="62" t="s">
        <v>31</v>
      </c>
      <c r="FB5" s="61" t="s">
        <v>26</v>
      </c>
      <c r="FC5" s="61" t="s">
        <v>27</v>
      </c>
      <c r="FD5" s="61" t="s">
        <v>28</v>
      </c>
      <c r="FE5" s="61" t="s">
        <v>29</v>
      </c>
      <c r="FF5" s="61" t="s">
        <v>30</v>
      </c>
      <c r="FG5" s="62" t="s">
        <v>31</v>
      </c>
      <c r="FH5" s="61" t="s">
        <v>26</v>
      </c>
      <c r="FI5" s="61" t="s">
        <v>27</v>
      </c>
      <c r="FJ5" s="61" t="s">
        <v>28</v>
      </c>
      <c r="FK5" s="61" t="s">
        <v>29</v>
      </c>
      <c r="FL5" s="61" t="s">
        <v>30</v>
      </c>
      <c r="FM5" s="62" t="s">
        <v>31</v>
      </c>
      <c r="FN5" s="61" t="s">
        <v>26</v>
      </c>
      <c r="FO5" s="61" t="s">
        <v>27</v>
      </c>
      <c r="FP5" s="61" t="s">
        <v>28</v>
      </c>
      <c r="FQ5" s="61" t="s">
        <v>29</v>
      </c>
      <c r="FR5" s="61" t="s">
        <v>30</v>
      </c>
      <c r="FS5" s="62" t="s">
        <v>31</v>
      </c>
      <c r="FT5" s="61" t="s">
        <v>26</v>
      </c>
      <c r="FU5" s="61" t="s">
        <v>27</v>
      </c>
      <c r="FV5" s="61" t="s">
        <v>28</v>
      </c>
      <c r="FW5" s="61" t="s">
        <v>29</v>
      </c>
      <c r="FX5" s="61" t="s">
        <v>30</v>
      </c>
      <c r="FY5" s="62" t="s">
        <v>31</v>
      </c>
      <c r="FZ5" s="61" t="s">
        <v>26</v>
      </c>
      <c r="GA5" s="61" t="s">
        <v>27</v>
      </c>
      <c r="GB5" s="61" t="s">
        <v>28</v>
      </c>
      <c r="GC5" s="61" t="s">
        <v>29</v>
      </c>
      <c r="GD5" s="61" t="s">
        <v>30</v>
      </c>
      <c r="GE5" s="62" t="s">
        <v>31</v>
      </c>
      <c r="GF5" s="61" t="s">
        <v>26</v>
      </c>
      <c r="GG5" s="61" t="s">
        <v>27</v>
      </c>
      <c r="GH5" s="61" t="s">
        <v>28</v>
      </c>
      <c r="GI5" s="61" t="s">
        <v>29</v>
      </c>
      <c r="GJ5" s="61" t="s">
        <v>30</v>
      </c>
      <c r="GK5" s="62" t="s">
        <v>31</v>
      </c>
      <c r="GL5" s="61" t="s">
        <v>26</v>
      </c>
      <c r="GM5" s="61" t="s">
        <v>27</v>
      </c>
      <c r="GN5" s="61" t="s">
        <v>28</v>
      </c>
      <c r="GO5" s="61" t="s">
        <v>29</v>
      </c>
      <c r="GP5" s="61" t="s">
        <v>30</v>
      </c>
      <c r="GQ5" s="62" t="s">
        <v>31</v>
      </c>
      <c r="GR5" s="61" t="s">
        <v>26</v>
      </c>
      <c r="GS5" s="61" t="s">
        <v>27</v>
      </c>
      <c r="GT5" s="61" t="s">
        <v>28</v>
      </c>
      <c r="GU5" s="61" t="s">
        <v>29</v>
      </c>
      <c r="GV5" s="61" t="s">
        <v>30</v>
      </c>
      <c r="GW5" s="62" t="s">
        <v>31</v>
      </c>
      <c r="GX5" s="61" t="s">
        <v>26</v>
      </c>
      <c r="GY5" s="61" t="s">
        <v>27</v>
      </c>
      <c r="GZ5" s="61" t="s">
        <v>28</v>
      </c>
      <c r="HA5" s="61" t="s">
        <v>29</v>
      </c>
      <c r="HB5" s="61" t="s">
        <v>30</v>
      </c>
      <c r="HC5" s="62" t="s">
        <v>31</v>
      </c>
      <c r="HD5" s="61" t="s">
        <v>26</v>
      </c>
      <c r="HE5" s="61" t="s">
        <v>27</v>
      </c>
      <c r="HF5" s="61" t="s">
        <v>28</v>
      </c>
      <c r="HG5" s="61" t="s">
        <v>29</v>
      </c>
      <c r="HH5" s="61" t="s">
        <v>30</v>
      </c>
      <c r="HI5" s="62" t="s">
        <v>31</v>
      </c>
    </row>
    <row r="6" spans="1:217" x14ac:dyDescent="0.25">
      <c r="A6" s="15" t="s">
        <v>237</v>
      </c>
      <c r="B6" s="32"/>
      <c r="C6" s="32"/>
      <c r="D6" s="33"/>
      <c r="E6" s="33"/>
      <c r="F6" s="33"/>
      <c r="G6" s="33"/>
      <c r="H6" s="32"/>
      <c r="I6" s="32"/>
      <c r="J6" s="33"/>
      <c r="K6" s="33"/>
      <c r="L6" s="33"/>
      <c r="M6" s="33"/>
      <c r="N6" s="32"/>
      <c r="O6" s="32"/>
      <c r="P6" s="33"/>
      <c r="Q6" s="33"/>
      <c r="R6" s="33"/>
      <c r="S6" s="33"/>
      <c r="T6" s="32"/>
      <c r="U6" s="32"/>
      <c r="V6" s="33"/>
      <c r="W6" s="33"/>
      <c r="X6" s="33"/>
      <c r="Y6" s="33"/>
      <c r="Z6" s="32"/>
      <c r="AA6" s="32"/>
      <c r="AB6" s="33"/>
      <c r="AC6" s="33"/>
      <c r="AD6" s="33"/>
      <c r="AE6" s="33"/>
      <c r="AF6" s="32"/>
      <c r="AG6" s="32"/>
      <c r="AH6" s="33"/>
      <c r="AI6" s="33"/>
      <c r="AJ6" s="33"/>
      <c r="AK6" s="33"/>
      <c r="AL6" s="32"/>
      <c r="AM6" s="32"/>
      <c r="AN6" s="33"/>
      <c r="AO6" s="33"/>
      <c r="AP6" s="33"/>
      <c r="AQ6" s="33"/>
      <c r="AR6" s="32"/>
      <c r="AS6" s="32"/>
      <c r="AT6" s="33"/>
      <c r="AU6" s="33"/>
      <c r="AV6" s="33"/>
      <c r="AW6" s="33"/>
      <c r="AX6" s="32"/>
      <c r="AY6" s="32"/>
      <c r="AZ6" s="33"/>
      <c r="BA6" s="33"/>
      <c r="BB6" s="33"/>
      <c r="BC6" s="33"/>
      <c r="BD6" s="32"/>
      <c r="BE6" s="32"/>
      <c r="BF6" s="33"/>
      <c r="BG6" s="33"/>
      <c r="BH6" s="33"/>
      <c r="BI6" s="33"/>
      <c r="BJ6" s="32"/>
      <c r="BK6" s="32"/>
      <c r="BL6" s="33"/>
      <c r="BM6" s="33"/>
      <c r="BN6" s="33"/>
      <c r="BO6" s="33"/>
      <c r="BP6" s="32"/>
      <c r="BQ6" s="32"/>
      <c r="BR6" s="33"/>
      <c r="BS6" s="33"/>
      <c r="BT6" s="33"/>
      <c r="BU6" s="33"/>
      <c r="BV6" s="32"/>
      <c r="BW6" s="32"/>
      <c r="BX6" s="33"/>
      <c r="BY6" s="33"/>
      <c r="BZ6" s="33"/>
      <c r="CA6" s="33"/>
      <c r="CB6" s="32"/>
      <c r="CC6" s="32"/>
      <c r="CD6" s="33"/>
      <c r="CE6" s="33"/>
      <c r="CF6" s="33"/>
      <c r="CG6" s="33"/>
      <c r="CH6" s="32"/>
      <c r="CI6" s="32"/>
      <c r="CJ6" s="33"/>
      <c r="CK6" s="33"/>
      <c r="CL6" s="33"/>
      <c r="CM6" s="33"/>
      <c r="CN6" s="32"/>
      <c r="CO6" s="32"/>
      <c r="CP6" s="33"/>
      <c r="CQ6" s="33"/>
      <c r="CR6" s="33"/>
      <c r="CS6" s="33"/>
      <c r="CT6" s="32"/>
      <c r="CU6" s="32"/>
      <c r="CV6" s="33"/>
      <c r="CW6" s="33"/>
      <c r="CX6" s="33"/>
      <c r="CY6" s="33"/>
      <c r="CZ6" s="32"/>
      <c r="DA6" s="32"/>
      <c r="DB6" s="33"/>
      <c r="DC6" s="33"/>
      <c r="DD6" s="33"/>
      <c r="DE6" s="33"/>
      <c r="DF6" s="32"/>
      <c r="DG6" s="32"/>
      <c r="DH6" s="33"/>
      <c r="DI6" s="33"/>
      <c r="DJ6" s="33"/>
      <c r="DK6" s="33"/>
      <c r="DL6" s="32">
        <v>100</v>
      </c>
      <c r="DM6" s="32">
        <v>97.916666666666657</v>
      </c>
      <c r="DN6" s="33">
        <v>100</v>
      </c>
      <c r="DO6" s="33">
        <v>100</v>
      </c>
      <c r="DP6" s="33">
        <v>100</v>
      </c>
      <c r="DQ6" s="33">
        <v>85.454545454545453</v>
      </c>
      <c r="DR6" s="86">
        <v>100</v>
      </c>
      <c r="DS6" s="86">
        <v>100</v>
      </c>
      <c r="DT6" s="86">
        <v>100</v>
      </c>
      <c r="DU6" s="86">
        <v>96.09375</v>
      </c>
      <c r="DV6" s="86">
        <v>100</v>
      </c>
      <c r="DW6" s="86">
        <v>80.882352941176478</v>
      </c>
      <c r="DX6" s="102">
        <v>100</v>
      </c>
      <c r="DY6" s="102">
        <v>98.148148148148152</v>
      </c>
      <c r="DZ6" s="102">
        <v>100</v>
      </c>
      <c r="EA6" s="102">
        <v>97.222222222222229</v>
      </c>
      <c r="EB6" s="102">
        <v>100</v>
      </c>
      <c r="EC6" s="102">
        <v>88.333333333333329</v>
      </c>
      <c r="ED6" s="102">
        <v>100.00000000000003</v>
      </c>
      <c r="EE6" s="102">
        <v>92.592592592592609</v>
      </c>
      <c r="EF6" s="102">
        <v>100</v>
      </c>
      <c r="EG6" s="102">
        <v>78.048780487804876</v>
      </c>
      <c r="EH6" s="102">
        <v>100</v>
      </c>
      <c r="EI6" s="102">
        <v>71.666666666666671</v>
      </c>
      <c r="EJ6" s="102">
        <v>100</v>
      </c>
      <c r="EK6" s="102">
        <v>99.999999999999986</v>
      </c>
      <c r="EL6" s="102">
        <v>100</v>
      </c>
      <c r="EM6" s="102">
        <v>78.260869565217376</v>
      </c>
      <c r="EN6" s="102">
        <v>100</v>
      </c>
      <c r="EO6" s="102">
        <v>91.803278688524586</v>
      </c>
      <c r="EP6" s="102">
        <v>79.729729729729726</v>
      </c>
      <c r="EQ6" s="102">
        <v>79.629629629629633</v>
      </c>
      <c r="ER6" s="102">
        <v>95</v>
      </c>
      <c r="ES6" s="102">
        <v>50</v>
      </c>
      <c r="ET6" s="102">
        <v>100</v>
      </c>
      <c r="EU6" s="102">
        <v>77.966101694915253</v>
      </c>
      <c r="EV6" s="102">
        <v>82</v>
      </c>
      <c r="EW6" s="102">
        <v>88</v>
      </c>
      <c r="EX6" s="102">
        <v>100</v>
      </c>
      <c r="EY6" s="102">
        <v>71</v>
      </c>
      <c r="EZ6" s="102">
        <v>100</v>
      </c>
      <c r="FA6" s="102">
        <v>84</v>
      </c>
      <c r="FB6" s="102">
        <v>70.94017094017093</v>
      </c>
      <c r="FC6" s="102">
        <v>83.928571428571416</v>
      </c>
      <c r="FD6" s="102">
        <v>87.096774193548384</v>
      </c>
      <c r="FE6" s="102">
        <v>81.249999999999986</v>
      </c>
      <c r="FF6" s="102">
        <v>96</v>
      </c>
      <c r="FG6" s="102">
        <v>87.301587301587304</v>
      </c>
      <c r="FH6" s="102">
        <v>86.075949367088612</v>
      </c>
      <c r="FI6" s="102">
        <v>72.727272727272734</v>
      </c>
      <c r="FJ6" s="102">
        <v>100</v>
      </c>
      <c r="FK6" s="102">
        <v>66.666666666666657</v>
      </c>
      <c r="FL6" s="102">
        <v>100</v>
      </c>
      <c r="FM6" s="102">
        <v>100</v>
      </c>
      <c r="FN6" s="102">
        <v>84.74576271186443</v>
      </c>
      <c r="FO6" s="102">
        <v>70.909090909090907</v>
      </c>
      <c r="FP6" s="102">
        <v>94.871794871794862</v>
      </c>
      <c r="FQ6" s="102">
        <v>91.666666666666657</v>
      </c>
      <c r="FR6" s="102">
        <v>90</v>
      </c>
      <c r="FS6" s="102">
        <v>93.650793650793645</v>
      </c>
      <c r="FT6" s="102">
        <v>91.089108910891099</v>
      </c>
      <c r="FU6" s="102">
        <v>73.584905660377359</v>
      </c>
      <c r="FV6" s="102">
        <v>100</v>
      </c>
      <c r="FW6" s="102">
        <v>100</v>
      </c>
      <c r="FX6" s="102">
        <v>86.206896551724128</v>
      </c>
      <c r="FY6" s="102">
        <v>94.117647058823522</v>
      </c>
      <c r="FZ6" s="102">
        <v>14</v>
      </c>
      <c r="GA6" s="102">
        <v>9</v>
      </c>
      <c r="GB6" s="102">
        <v>13</v>
      </c>
      <c r="GC6" s="102">
        <v>33</v>
      </c>
      <c r="GD6" s="102">
        <v>0</v>
      </c>
      <c r="GE6" s="102">
        <v>75</v>
      </c>
      <c r="GF6" s="102">
        <v>28</v>
      </c>
      <c r="GG6" s="102">
        <v>20</v>
      </c>
      <c r="GH6" s="102">
        <v>14</v>
      </c>
      <c r="GI6" s="102">
        <v>0</v>
      </c>
      <c r="GJ6" s="102">
        <v>17</v>
      </c>
      <c r="GK6" s="102">
        <v>64</v>
      </c>
      <c r="GL6" s="102">
        <v>31.578947368421055</v>
      </c>
      <c r="GM6" s="102">
        <v>45.45454545454546</v>
      </c>
      <c r="GN6" s="102">
        <v>11.111111111111111</v>
      </c>
      <c r="GO6" s="102">
        <v>12.5</v>
      </c>
      <c r="GP6" s="102">
        <v>0</v>
      </c>
      <c r="GQ6" s="102">
        <v>41.666666666666671</v>
      </c>
      <c r="GR6" s="102">
        <v>21.05263157894737</v>
      </c>
      <c r="GS6" s="102">
        <v>36.363636363636367</v>
      </c>
      <c r="GT6" s="102">
        <v>0</v>
      </c>
      <c r="GU6" s="102">
        <v>0</v>
      </c>
      <c r="GV6" s="102">
        <v>0</v>
      </c>
      <c r="GW6" s="102">
        <v>50</v>
      </c>
      <c r="GX6" s="97">
        <v>25.806451612903224</v>
      </c>
      <c r="GY6" s="97">
        <v>30</v>
      </c>
      <c r="GZ6" s="97">
        <v>28.571428571428569</v>
      </c>
      <c r="HA6" s="97">
        <v>0</v>
      </c>
      <c r="HB6">
        <v>40</v>
      </c>
      <c r="HC6" s="97">
        <v>0</v>
      </c>
      <c r="HD6" s="97"/>
      <c r="HE6" s="97"/>
      <c r="HF6" s="97"/>
      <c r="HG6" s="97"/>
      <c r="HH6" s="97"/>
      <c r="HI6" s="97"/>
    </row>
    <row r="7" spans="1:217" x14ac:dyDescent="0.25">
      <c r="A7" s="111" t="s">
        <v>44</v>
      </c>
      <c r="B7" s="32"/>
      <c r="C7" s="32"/>
      <c r="D7" s="33"/>
      <c r="E7" s="33"/>
      <c r="F7" s="33"/>
      <c r="G7" s="33"/>
      <c r="H7" s="32"/>
      <c r="I7" s="32"/>
      <c r="J7" s="33"/>
      <c r="K7" s="33"/>
      <c r="L7" s="33"/>
      <c r="M7" s="33"/>
      <c r="N7" s="32"/>
      <c r="O7" s="32"/>
      <c r="P7" s="33"/>
      <c r="Q7" s="33"/>
      <c r="R7" s="33"/>
      <c r="S7" s="33"/>
      <c r="T7" s="32"/>
      <c r="U7" s="32"/>
      <c r="V7" s="33"/>
      <c r="W7" s="33"/>
      <c r="X7" s="33"/>
      <c r="Y7" s="33"/>
      <c r="Z7" s="32"/>
      <c r="AA7" s="32"/>
      <c r="AB7" s="33"/>
      <c r="AC7" s="33"/>
      <c r="AD7" s="33"/>
      <c r="AE7" s="33"/>
      <c r="AF7" s="32"/>
      <c r="AG7" s="32"/>
      <c r="AH7" s="33"/>
      <c r="AI7" s="33"/>
      <c r="AJ7" s="33"/>
      <c r="AK7" s="33"/>
      <c r="AL7" s="32"/>
      <c r="AM7" s="32"/>
      <c r="AN7" s="33"/>
      <c r="AO7" s="33"/>
      <c r="AP7" s="33"/>
      <c r="AQ7" s="33"/>
      <c r="AR7" s="32"/>
      <c r="AS7" s="32"/>
      <c r="AT7" s="33"/>
      <c r="AU7" s="33"/>
      <c r="AV7" s="33"/>
      <c r="AW7" s="33"/>
      <c r="AX7" s="32"/>
      <c r="AY7" s="32"/>
      <c r="AZ7" s="33"/>
      <c r="BA7" s="33"/>
      <c r="BB7" s="33"/>
      <c r="BC7" s="33"/>
      <c r="BD7" s="32"/>
      <c r="BE7" s="32"/>
      <c r="BF7" s="33"/>
      <c r="BG7" s="33"/>
      <c r="BH7" s="33"/>
      <c r="BI7" s="33"/>
      <c r="BJ7" s="32"/>
      <c r="BK7" s="32"/>
      <c r="BL7" s="33"/>
      <c r="BM7" s="33"/>
      <c r="BN7" s="33"/>
      <c r="BO7" s="33"/>
      <c r="BP7" s="32"/>
      <c r="BQ7" s="32"/>
      <c r="BR7" s="33"/>
      <c r="BS7" s="33"/>
      <c r="BT7" s="33"/>
      <c r="BU7" s="33"/>
      <c r="BV7" s="32"/>
      <c r="BW7" s="32"/>
      <c r="BX7" s="33"/>
      <c r="BY7" s="33"/>
      <c r="BZ7" s="33"/>
      <c r="CA7" s="33"/>
      <c r="CB7" s="32"/>
      <c r="CC7" s="32"/>
      <c r="CD7" s="33"/>
      <c r="CE7" s="33"/>
      <c r="CF7" s="33"/>
      <c r="CG7" s="33"/>
      <c r="CH7" s="32"/>
      <c r="CI7" s="32"/>
      <c r="CJ7" s="33"/>
      <c r="CK7" s="33"/>
      <c r="CL7" s="33"/>
      <c r="CM7" s="33"/>
      <c r="CN7" s="32"/>
      <c r="CO7" s="32"/>
      <c r="CP7" s="33"/>
      <c r="CQ7" s="33"/>
      <c r="CR7" s="33"/>
      <c r="CS7" s="33"/>
      <c r="CT7" s="32"/>
      <c r="CU7" s="32"/>
      <c r="CV7" s="33"/>
      <c r="CW7" s="33"/>
      <c r="CX7" s="33"/>
      <c r="CY7" s="33"/>
      <c r="CZ7" s="32"/>
      <c r="DA7" s="32"/>
      <c r="DB7" s="33"/>
      <c r="DC7" s="33"/>
      <c r="DD7" s="33"/>
      <c r="DE7" s="33"/>
      <c r="DF7" s="32"/>
      <c r="DG7" s="32"/>
      <c r="DH7" s="33"/>
      <c r="DI7" s="33"/>
      <c r="DJ7" s="33"/>
      <c r="DK7" s="33"/>
      <c r="DL7" s="32">
        <v>90.306122448979593</v>
      </c>
      <c r="DM7" s="32">
        <v>100</v>
      </c>
      <c r="DN7" s="33">
        <v>85</v>
      </c>
      <c r="DO7" s="33">
        <v>46.682098765432094</v>
      </c>
      <c r="DP7" s="33">
        <v>88.47926267281106</v>
      </c>
      <c r="DQ7" s="33">
        <v>21.818181818181817</v>
      </c>
      <c r="DR7" s="86">
        <v>92.237442922374441</v>
      </c>
      <c r="DS7" s="86">
        <v>100</v>
      </c>
      <c r="DT7" s="86">
        <v>100</v>
      </c>
      <c r="DU7" s="86">
        <v>42.187500000000007</v>
      </c>
      <c r="DV7" s="86">
        <v>100</v>
      </c>
      <c r="DW7" s="86">
        <v>11.76470588235294</v>
      </c>
      <c r="DX7" s="102">
        <v>81.447963800904986</v>
      </c>
      <c r="DY7" s="102">
        <v>100</v>
      </c>
      <c r="DZ7" s="102">
        <v>72.5</v>
      </c>
      <c r="EA7" s="102">
        <v>19.444444444444443</v>
      </c>
      <c r="EB7" s="102">
        <v>78.125</v>
      </c>
      <c r="EC7" s="102">
        <v>3.3333333333333335</v>
      </c>
      <c r="ED7" s="102">
        <v>100</v>
      </c>
      <c r="EE7" s="102">
        <v>100</v>
      </c>
      <c r="EF7" s="102">
        <v>60</v>
      </c>
      <c r="EG7" s="102">
        <v>26.829268292682922</v>
      </c>
      <c r="EH7" s="102">
        <v>68.75</v>
      </c>
      <c r="EI7" s="102">
        <v>10</v>
      </c>
      <c r="EJ7" s="102">
        <v>91.121495327102807</v>
      </c>
      <c r="EK7" s="102">
        <v>99.999999999999986</v>
      </c>
      <c r="EL7" s="102">
        <v>88.888888888888886</v>
      </c>
      <c r="EM7" s="102">
        <v>15.217391304347824</v>
      </c>
      <c r="EN7" s="102">
        <v>93.75</v>
      </c>
      <c r="EO7" s="102">
        <v>6.557377049180328</v>
      </c>
      <c r="EP7" s="102">
        <v>82.882882882882896</v>
      </c>
      <c r="EQ7" s="102">
        <v>75.925925925925924</v>
      </c>
      <c r="ER7" s="102">
        <v>72.5</v>
      </c>
      <c r="ES7" s="102">
        <v>83.333333333333343</v>
      </c>
      <c r="ET7" s="102">
        <v>87.5</v>
      </c>
      <c r="EU7" s="102">
        <v>5.0847457627118651</v>
      </c>
      <c r="EV7" s="102">
        <v>79</v>
      </c>
      <c r="EW7" s="102">
        <v>89</v>
      </c>
      <c r="EX7" s="102">
        <v>60</v>
      </c>
      <c r="EY7" s="102">
        <v>73</v>
      </c>
      <c r="EZ7" s="102">
        <v>75</v>
      </c>
      <c r="FA7" s="102">
        <v>0</v>
      </c>
      <c r="FB7" s="102">
        <v>91.025641025641036</v>
      </c>
      <c r="FC7" s="102">
        <v>83.928571428571416</v>
      </c>
      <c r="FD7" s="102">
        <v>90.322580645161281</v>
      </c>
      <c r="FE7" s="102">
        <v>79.166666666666657</v>
      </c>
      <c r="FF7" s="102">
        <v>72</v>
      </c>
      <c r="FG7" s="102">
        <v>0</v>
      </c>
      <c r="FH7" s="102">
        <v>78.059071729957822</v>
      </c>
      <c r="FI7" s="102">
        <v>78.181818181818201</v>
      </c>
      <c r="FJ7" s="102">
        <v>75</v>
      </c>
      <c r="FK7" s="102">
        <v>31.249999999999993</v>
      </c>
      <c r="FL7" s="102">
        <v>100</v>
      </c>
      <c r="FM7" s="102">
        <v>42.1875</v>
      </c>
      <c r="FN7" s="102">
        <v>86.016949152542367</v>
      </c>
      <c r="FO7" s="102">
        <v>92.727272727272734</v>
      </c>
      <c r="FP7" s="102">
        <v>69.230769230769226</v>
      </c>
      <c r="FQ7" s="102">
        <v>16.666666666666664</v>
      </c>
      <c r="FR7" s="102">
        <v>90</v>
      </c>
      <c r="FS7" s="102">
        <v>23.809523809523807</v>
      </c>
      <c r="FT7" s="102">
        <v>87.623762376237622</v>
      </c>
      <c r="FU7" s="102">
        <v>77.35849056603773</v>
      </c>
      <c r="FV7" s="102">
        <v>54.285714285714285</v>
      </c>
      <c r="FW7" s="102">
        <v>39.999999999999986</v>
      </c>
      <c r="FX7" s="102">
        <v>75.862068965517238</v>
      </c>
      <c r="FY7" s="102">
        <v>37.254901960784316</v>
      </c>
      <c r="FZ7" s="102">
        <v>36</v>
      </c>
      <c r="GA7" s="102">
        <v>18</v>
      </c>
      <c r="GB7" s="102">
        <v>13</v>
      </c>
      <c r="GC7" s="102">
        <v>0</v>
      </c>
      <c r="GD7" s="102">
        <v>60</v>
      </c>
      <c r="GE7" s="102">
        <v>0</v>
      </c>
      <c r="GF7" s="102">
        <v>55</v>
      </c>
      <c r="GG7" s="102">
        <v>70</v>
      </c>
      <c r="GH7" s="102">
        <v>57</v>
      </c>
      <c r="GI7" s="102">
        <v>20</v>
      </c>
      <c r="GJ7" s="102">
        <v>50</v>
      </c>
      <c r="GK7" s="102">
        <v>57</v>
      </c>
      <c r="GL7" s="102">
        <v>71.052631578947384</v>
      </c>
      <c r="GM7" s="102">
        <v>63.636363636363633</v>
      </c>
      <c r="GN7" s="102">
        <v>33.333333333333329</v>
      </c>
      <c r="GO7" s="102">
        <v>62.500000000000014</v>
      </c>
      <c r="GP7" s="102">
        <v>57.142857142857139</v>
      </c>
      <c r="GQ7" s="102">
        <v>41.666666666666671</v>
      </c>
      <c r="GR7" s="102">
        <v>36.842105263157897</v>
      </c>
      <c r="GS7" s="102">
        <v>45.45454545454546</v>
      </c>
      <c r="GT7" s="102">
        <v>28.571428571428569</v>
      </c>
      <c r="GU7" s="102">
        <v>0</v>
      </c>
      <c r="GV7" s="102">
        <v>25</v>
      </c>
      <c r="GW7" s="102">
        <v>14.285714285714285</v>
      </c>
      <c r="GX7" s="97">
        <v>58.064516129032249</v>
      </c>
      <c r="GY7" s="97">
        <v>30</v>
      </c>
      <c r="GZ7" s="97">
        <v>42.857142857142854</v>
      </c>
      <c r="HA7" s="97">
        <v>71.428571428571431</v>
      </c>
      <c r="HB7">
        <v>60</v>
      </c>
      <c r="HC7" s="97">
        <v>6.666666666666667</v>
      </c>
      <c r="HD7" s="97"/>
      <c r="HE7" s="97"/>
      <c r="HF7" s="97"/>
      <c r="HG7" s="97"/>
      <c r="HH7" s="97"/>
      <c r="HI7" s="97"/>
    </row>
    <row r="8" spans="1:217" x14ac:dyDescent="0.25">
      <c r="A8" s="15" t="s">
        <v>216</v>
      </c>
      <c r="B8" s="32"/>
      <c r="C8" s="32"/>
      <c r="D8" s="33"/>
      <c r="E8" s="33"/>
      <c r="F8" s="33"/>
      <c r="G8" s="33"/>
      <c r="H8" s="32"/>
      <c r="I8" s="32"/>
      <c r="J8" s="33"/>
      <c r="K8" s="33"/>
      <c r="L8" s="33"/>
      <c r="M8" s="33"/>
      <c r="N8" s="32"/>
      <c r="O8" s="32"/>
      <c r="P8" s="33"/>
      <c r="Q8" s="33"/>
      <c r="R8" s="33"/>
      <c r="S8" s="33"/>
      <c r="T8" s="32"/>
      <c r="U8" s="32"/>
      <c r="V8" s="33"/>
      <c r="W8" s="33"/>
      <c r="X8" s="33"/>
      <c r="Y8" s="33"/>
      <c r="Z8" s="32"/>
      <c r="AA8" s="32"/>
      <c r="AB8" s="33"/>
      <c r="AC8" s="33"/>
      <c r="AD8" s="33"/>
      <c r="AE8" s="33"/>
      <c r="AF8" s="32"/>
      <c r="AG8" s="32"/>
      <c r="AH8" s="33"/>
      <c r="AI8" s="33"/>
      <c r="AJ8" s="33"/>
      <c r="AK8" s="33"/>
      <c r="AL8" s="32"/>
      <c r="AM8" s="32"/>
      <c r="AN8" s="33"/>
      <c r="AO8" s="33"/>
      <c r="AP8" s="33"/>
      <c r="AQ8" s="33"/>
      <c r="AR8" s="32"/>
      <c r="AS8" s="32"/>
      <c r="AT8" s="33"/>
      <c r="AU8" s="33"/>
      <c r="AV8" s="33"/>
      <c r="AW8" s="33"/>
      <c r="AX8" s="32"/>
      <c r="AY8" s="32"/>
      <c r="AZ8" s="33"/>
      <c r="BA8" s="33"/>
      <c r="BB8" s="33"/>
      <c r="BC8" s="33"/>
      <c r="BD8" s="32"/>
      <c r="BE8" s="32"/>
      <c r="BF8" s="33"/>
      <c r="BG8" s="33"/>
      <c r="BH8" s="33"/>
      <c r="BI8" s="33"/>
      <c r="BJ8" s="32"/>
      <c r="BK8" s="32"/>
      <c r="BL8" s="33"/>
      <c r="BM8" s="33"/>
      <c r="BN8" s="33"/>
      <c r="BO8" s="33"/>
      <c r="BP8" s="32"/>
      <c r="BQ8" s="32"/>
      <c r="BR8" s="33"/>
      <c r="BS8" s="33"/>
      <c r="BT8" s="33"/>
      <c r="BU8" s="33"/>
      <c r="BV8" s="32"/>
      <c r="BW8" s="32"/>
      <c r="BX8" s="33"/>
      <c r="BY8" s="33"/>
      <c r="BZ8" s="33"/>
      <c r="CA8" s="33"/>
      <c r="CB8" s="32"/>
      <c r="CC8" s="32"/>
      <c r="CD8" s="33"/>
      <c r="CE8" s="33"/>
      <c r="CF8" s="33"/>
      <c r="CG8" s="33"/>
      <c r="CH8" s="32"/>
      <c r="CI8" s="32"/>
      <c r="CJ8" s="33"/>
      <c r="CK8" s="33"/>
      <c r="CL8" s="33"/>
      <c r="CM8" s="33"/>
      <c r="CN8" s="32"/>
      <c r="CO8" s="32"/>
      <c r="CP8" s="33"/>
      <c r="CQ8" s="33"/>
      <c r="CR8" s="33"/>
      <c r="CS8" s="33"/>
      <c r="CT8" s="32"/>
      <c r="CU8" s="32"/>
      <c r="CV8" s="33"/>
      <c r="CW8" s="33"/>
      <c r="CX8" s="33"/>
      <c r="CY8" s="33"/>
      <c r="CZ8" s="32"/>
      <c r="DA8" s="32"/>
      <c r="DB8" s="33"/>
      <c r="DC8" s="33"/>
      <c r="DD8" s="33"/>
      <c r="DE8" s="33"/>
      <c r="DF8" s="32"/>
      <c r="DG8" s="32"/>
      <c r="DH8" s="33"/>
      <c r="DI8" s="33"/>
      <c r="DJ8" s="33"/>
      <c r="DK8" s="33"/>
      <c r="DL8" s="32">
        <v>82.312729745733392</v>
      </c>
      <c r="DM8" s="32">
        <v>91.666666666666671</v>
      </c>
      <c r="DN8" s="33">
        <v>37.5</v>
      </c>
      <c r="DO8" s="33">
        <v>11.111111111111112</v>
      </c>
      <c r="DP8" s="33">
        <v>74.193548387096769</v>
      </c>
      <c r="DQ8" s="33">
        <v>69.090909090909093</v>
      </c>
      <c r="DR8" s="86">
        <v>78.538812785388131</v>
      </c>
      <c r="DS8" s="86">
        <v>80.701754385964904</v>
      </c>
      <c r="DT8" s="86">
        <v>0</v>
      </c>
      <c r="DU8" s="86">
        <v>51.5625</v>
      </c>
      <c r="DV8" s="86">
        <v>0</v>
      </c>
      <c r="DW8" s="86">
        <v>69.117647058823522</v>
      </c>
      <c r="DX8" s="102">
        <v>71.597463151614278</v>
      </c>
      <c r="DY8" s="102">
        <v>88.8888888888889</v>
      </c>
      <c r="DZ8" s="102">
        <v>5</v>
      </c>
      <c r="EA8" s="102">
        <v>66.666666666666671</v>
      </c>
      <c r="EB8" s="102">
        <v>0</v>
      </c>
      <c r="EC8" s="102">
        <v>76.666666666666671</v>
      </c>
      <c r="ED8" s="102">
        <v>79.812206572769966</v>
      </c>
      <c r="EE8" s="102">
        <v>88.8888888888889</v>
      </c>
      <c r="EF8" s="102">
        <v>10</v>
      </c>
      <c r="EG8" s="102">
        <v>68.292682926829258</v>
      </c>
      <c r="EH8" s="102">
        <v>9.375</v>
      </c>
      <c r="EI8" s="102">
        <v>100</v>
      </c>
      <c r="EJ8" s="102">
        <v>73.36448598130842</v>
      </c>
      <c r="EK8" s="102">
        <v>96.296296296296305</v>
      </c>
      <c r="EL8" s="102">
        <v>0</v>
      </c>
      <c r="EM8" s="102">
        <v>52.173913043478258</v>
      </c>
      <c r="EN8" s="102">
        <v>18.75</v>
      </c>
      <c r="EO8" s="102">
        <v>83.606557377049185</v>
      </c>
      <c r="EP8" s="102">
        <v>86.936936936936931</v>
      </c>
      <c r="EQ8" s="102">
        <v>96.296296296296305</v>
      </c>
      <c r="ER8" s="102">
        <v>40</v>
      </c>
      <c r="ES8" s="102">
        <v>64.583333333333343</v>
      </c>
      <c r="ET8" s="102">
        <v>56.25</v>
      </c>
      <c r="EU8" s="102">
        <v>96.610169491525426</v>
      </c>
      <c r="EV8" s="102">
        <v>87</v>
      </c>
      <c r="EW8" s="102">
        <v>79</v>
      </c>
      <c r="EX8" s="102">
        <v>5</v>
      </c>
      <c r="EY8" s="102">
        <v>76</v>
      </c>
      <c r="EZ8" s="102">
        <v>34</v>
      </c>
      <c r="FA8" s="102">
        <v>95</v>
      </c>
      <c r="FB8" s="102">
        <v>89.316239316239304</v>
      </c>
      <c r="FC8" s="102">
        <v>94.642857142857125</v>
      </c>
      <c r="FD8" s="102">
        <v>19.35483870967742</v>
      </c>
      <c r="FE8" s="102">
        <v>83.333333333333343</v>
      </c>
      <c r="FF8" s="102">
        <v>28.000000000000004</v>
      </c>
      <c r="FG8" s="102">
        <v>100</v>
      </c>
      <c r="FH8" s="102">
        <v>90.717299578059098</v>
      </c>
      <c r="FI8" s="102">
        <v>98.181818181818187</v>
      </c>
      <c r="FJ8" s="102">
        <v>45</v>
      </c>
      <c r="FK8" s="102">
        <v>66.666666666666657</v>
      </c>
      <c r="FL8" s="102">
        <v>87.5</v>
      </c>
      <c r="FM8" s="102">
        <v>100</v>
      </c>
      <c r="FN8" s="102">
        <v>77.118644067796609</v>
      </c>
      <c r="FO8" s="102">
        <v>89.090909090909093</v>
      </c>
      <c r="FP8" s="102">
        <v>41.025641025641022</v>
      </c>
      <c r="FQ8" s="102">
        <v>100</v>
      </c>
      <c r="FR8" s="102">
        <v>56.666666666666664</v>
      </c>
      <c r="FS8" s="102">
        <v>100</v>
      </c>
      <c r="FT8" s="102">
        <v>87.623762376237622</v>
      </c>
      <c r="FU8" s="102">
        <v>92.452830188679258</v>
      </c>
      <c r="FV8" s="102">
        <v>22.857142857142858</v>
      </c>
      <c r="FW8" s="102">
        <v>70</v>
      </c>
      <c r="FX8" s="102">
        <v>62.068965517241381</v>
      </c>
      <c r="FY8" s="102">
        <v>92.156862745098039</v>
      </c>
      <c r="FZ8" s="102">
        <v>0</v>
      </c>
      <c r="GA8" s="102">
        <v>0</v>
      </c>
      <c r="GB8" s="102">
        <v>0</v>
      </c>
      <c r="GC8" s="102">
        <v>17</v>
      </c>
      <c r="GD8" s="102">
        <v>20</v>
      </c>
      <c r="GE8" s="102">
        <v>0</v>
      </c>
      <c r="GF8" s="102">
        <v>3</v>
      </c>
      <c r="GG8" s="102">
        <v>0</v>
      </c>
      <c r="GH8" s="102">
        <v>0</v>
      </c>
      <c r="GI8" s="102">
        <v>0</v>
      </c>
      <c r="GJ8" s="102">
        <v>0</v>
      </c>
      <c r="GK8" s="102">
        <v>0</v>
      </c>
      <c r="GL8" s="102">
        <v>2.6315789473684212</v>
      </c>
      <c r="GM8" s="102">
        <v>0</v>
      </c>
      <c r="GN8" s="102">
        <v>0</v>
      </c>
      <c r="GO8" s="102">
        <v>0</v>
      </c>
      <c r="GP8" s="102">
        <v>0</v>
      </c>
      <c r="GQ8" s="102">
        <v>0</v>
      </c>
      <c r="GR8" s="102">
        <v>5.2631578947368425</v>
      </c>
      <c r="GS8" s="102">
        <v>0</v>
      </c>
      <c r="GT8" s="102">
        <v>28.571428571428569</v>
      </c>
      <c r="GU8" s="102">
        <v>22.222222222222218</v>
      </c>
      <c r="GV8" s="102">
        <v>0</v>
      </c>
      <c r="GW8" s="102">
        <v>0</v>
      </c>
      <c r="GX8" s="97">
        <v>6.4516129032258061</v>
      </c>
      <c r="GY8" s="97">
        <v>10</v>
      </c>
      <c r="GZ8" s="97">
        <v>14.285714285714285</v>
      </c>
      <c r="HA8" s="97">
        <v>0</v>
      </c>
      <c r="HB8">
        <v>20</v>
      </c>
      <c r="HC8" s="97">
        <v>0</v>
      </c>
      <c r="HD8" s="97"/>
      <c r="HE8" s="97"/>
      <c r="HF8" s="97"/>
      <c r="HG8" s="97"/>
      <c r="HH8" s="97"/>
      <c r="HI8" s="97"/>
    </row>
    <row r="9" spans="1:217" x14ac:dyDescent="0.25">
      <c r="A9" s="111" t="s">
        <v>4</v>
      </c>
      <c r="B9" s="32"/>
      <c r="C9" s="32"/>
      <c r="D9" s="33"/>
      <c r="E9" s="33"/>
      <c r="F9" s="33"/>
      <c r="G9" s="33"/>
      <c r="H9" s="32"/>
      <c r="I9" s="32"/>
      <c r="J9" s="33"/>
      <c r="K9" s="33"/>
      <c r="L9" s="33"/>
      <c r="M9" s="33"/>
      <c r="N9" s="32"/>
      <c r="O9" s="32"/>
      <c r="P9" s="33"/>
      <c r="Q9" s="33"/>
      <c r="R9" s="33"/>
      <c r="S9" s="33"/>
      <c r="T9" s="32"/>
      <c r="U9" s="32"/>
      <c r="V9" s="33"/>
      <c r="W9" s="33"/>
      <c r="X9" s="33"/>
      <c r="Y9" s="33"/>
      <c r="Z9" s="32"/>
      <c r="AA9" s="32"/>
      <c r="AB9" s="33"/>
      <c r="AC9" s="33"/>
      <c r="AD9" s="33"/>
      <c r="AE9" s="33"/>
      <c r="AF9" s="32"/>
      <c r="AG9" s="32"/>
      <c r="AH9" s="33"/>
      <c r="AI9" s="33"/>
      <c r="AJ9" s="33"/>
      <c r="AK9" s="33"/>
      <c r="AL9" s="32"/>
      <c r="AM9" s="32"/>
      <c r="AN9" s="33"/>
      <c r="AO9" s="33"/>
      <c r="AP9" s="33"/>
      <c r="AQ9" s="33"/>
      <c r="AR9" s="32"/>
      <c r="AS9" s="32"/>
      <c r="AT9" s="33"/>
      <c r="AU9" s="33"/>
      <c r="AV9" s="33"/>
      <c r="AW9" s="33"/>
      <c r="AX9" s="32"/>
      <c r="AY9" s="32"/>
      <c r="AZ9" s="33"/>
      <c r="BA9" s="33"/>
      <c r="BB9" s="33"/>
      <c r="BC9" s="33"/>
      <c r="BD9" s="32"/>
      <c r="BE9" s="32"/>
      <c r="BF9" s="33"/>
      <c r="BG9" s="33"/>
      <c r="BH9" s="33"/>
      <c r="BI9" s="33"/>
      <c r="BJ9" s="32"/>
      <c r="BK9" s="32"/>
      <c r="BL9" s="33"/>
      <c r="BM9" s="33"/>
      <c r="BN9" s="33"/>
      <c r="BO9" s="33"/>
      <c r="BP9" s="32"/>
      <c r="BQ9" s="32"/>
      <c r="BR9" s="33"/>
      <c r="BS9" s="33"/>
      <c r="BT9" s="33"/>
      <c r="BU9" s="33"/>
      <c r="BV9" s="32"/>
      <c r="BW9" s="32"/>
      <c r="BX9" s="33"/>
      <c r="BY9" s="33"/>
      <c r="BZ9" s="33"/>
      <c r="CA9" s="33"/>
      <c r="CB9" s="32"/>
      <c r="CC9" s="32"/>
      <c r="CD9" s="33"/>
      <c r="CE9" s="33"/>
      <c r="CF9" s="33"/>
      <c r="CG9" s="33"/>
      <c r="CH9" s="32"/>
      <c r="CI9" s="32"/>
      <c r="CJ9" s="33"/>
      <c r="CK9" s="33"/>
      <c r="CL9" s="33"/>
      <c r="CM9" s="33"/>
      <c r="CN9" s="32"/>
      <c r="CO9" s="32"/>
      <c r="CP9" s="33"/>
      <c r="CQ9" s="33"/>
      <c r="CR9" s="33"/>
      <c r="CS9" s="33"/>
      <c r="CT9" s="32"/>
      <c r="CU9" s="32"/>
      <c r="CV9" s="33"/>
      <c r="CW9" s="33"/>
      <c r="CX9" s="33"/>
      <c r="CY9" s="33"/>
      <c r="CZ9" s="32"/>
      <c r="DA9" s="32"/>
      <c r="DB9" s="33"/>
      <c r="DC9" s="33"/>
      <c r="DD9" s="33"/>
      <c r="DE9" s="33"/>
      <c r="DF9" s="32"/>
      <c r="DG9" s="32"/>
      <c r="DH9" s="33"/>
      <c r="DI9" s="33"/>
      <c r="DJ9" s="33"/>
      <c r="DK9" s="33"/>
      <c r="DL9" s="32">
        <v>78.091564117747069</v>
      </c>
      <c r="DM9" s="32">
        <v>97.916666666666657</v>
      </c>
      <c r="DN9" s="33">
        <v>55.000000000000007</v>
      </c>
      <c r="DO9" s="33">
        <v>46.682098765432102</v>
      </c>
      <c r="DP9" s="33">
        <v>46.346280447662942</v>
      </c>
      <c r="DQ9" s="33">
        <v>21.818181818181817</v>
      </c>
      <c r="DR9" s="86">
        <v>71.232876712328761</v>
      </c>
      <c r="DS9" s="86">
        <v>82.45614035087722</v>
      </c>
      <c r="DT9" s="86">
        <v>60</v>
      </c>
      <c r="DU9" s="86">
        <v>46.875</v>
      </c>
      <c r="DV9" s="86">
        <v>50</v>
      </c>
      <c r="DW9" s="86">
        <v>79.411764705882348</v>
      </c>
      <c r="DX9" s="102">
        <v>69.230769230769241</v>
      </c>
      <c r="DY9" s="102">
        <v>83.333333333333357</v>
      </c>
      <c r="DZ9" s="102">
        <v>52.5</v>
      </c>
      <c r="EA9" s="102">
        <v>36.111111111111107</v>
      </c>
      <c r="EB9" s="102">
        <v>43.75</v>
      </c>
      <c r="EC9" s="102">
        <v>90</v>
      </c>
      <c r="ED9" s="102">
        <v>48.356807511737074</v>
      </c>
      <c r="EE9" s="102">
        <v>61.111111111111114</v>
      </c>
      <c r="EF9" s="102">
        <v>67.5</v>
      </c>
      <c r="EG9" s="102">
        <v>0</v>
      </c>
      <c r="EH9" s="102">
        <v>50</v>
      </c>
      <c r="EI9" s="102">
        <v>85</v>
      </c>
      <c r="EJ9" s="102">
        <v>54.205607476635507</v>
      </c>
      <c r="EK9" s="102">
        <v>83.333333333333343</v>
      </c>
      <c r="EL9" s="102">
        <v>44.444444444444443</v>
      </c>
      <c r="EM9" s="102">
        <v>15.217391304347824</v>
      </c>
      <c r="EN9" s="102">
        <v>34.375</v>
      </c>
      <c r="EO9" s="102">
        <v>88.52459016393442</v>
      </c>
      <c r="EP9" s="102">
        <v>61.7117117117117</v>
      </c>
      <c r="EQ9" s="102">
        <v>64.81481481481481</v>
      </c>
      <c r="ER9" s="102">
        <v>60</v>
      </c>
      <c r="ES9" s="102">
        <v>54.16666666666665</v>
      </c>
      <c r="ET9" s="102">
        <v>43.75</v>
      </c>
      <c r="EU9" s="102">
        <v>94.915254237288138</v>
      </c>
      <c r="EV9" s="102">
        <v>63</v>
      </c>
      <c r="EW9" s="102">
        <v>68</v>
      </c>
      <c r="EX9" s="102">
        <v>95</v>
      </c>
      <c r="EY9" s="102">
        <v>64</v>
      </c>
      <c r="EZ9" s="102">
        <v>63</v>
      </c>
      <c r="FA9" s="102">
        <v>94</v>
      </c>
      <c r="FB9" s="102">
        <v>60.256410256410255</v>
      </c>
      <c r="FC9" s="102">
        <v>73.214285714285694</v>
      </c>
      <c r="FD9" s="102">
        <v>70.967741935483872</v>
      </c>
      <c r="FE9" s="102">
        <v>70.833333333333329</v>
      </c>
      <c r="FF9" s="102">
        <v>68</v>
      </c>
      <c r="FG9" s="102">
        <v>98.412698412698404</v>
      </c>
      <c r="FH9" s="102">
        <v>64.135021097046419</v>
      </c>
      <c r="FI9" s="102">
        <v>41.81818181818182</v>
      </c>
      <c r="FJ9" s="102">
        <v>80</v>
      </c>
      <c r="FK9" s="102">
        <v>25</v>
      </c>
      <c r="FL9" s="102">
        <v>87.5</v>
      </c>
      <c r="FM9" s="102">
        <v>79.6875</v>
      </c>
      <c r="FN9" s="102">
        <v>55.084745762711862</v>
      </c>
      <c r="FO9" s="102">
        <v>63.636363636363647</v>
      </c>
      <c r="FP9" s="102">
        <v>43.589743589743591</v>
      </c>
      <c r="FQ9" s="102">
        <v>25</v>
      </c>
      <c r="FR9" s="102">
        <v>93.333333333333329</v>
      </c>
      <c r="FS9" s="102">
        <v>87.301587301587304</v>
      </c>
      <c r="FT9" s="102">
        <v>66.336633663366328</v>
      </c>
      <c r="FU9" s="102">
        <v>37.735849056603776</v>
      </c>
      <c r="FV9" s="102">
        <v>57.142857142857139</v>
      </c>
      <c r="FW9" s="102">
        <v>30</v>
      </c>
      <c r="FX9" s="102">
        <v>93.103448275862064</v>
      </c>
      <c r="FY9" s="102">
        <v>96.078431372549019</v>
      </c>
      <c r="FZ9" s="102">
        <v>39</v>
      </c>
      <c r="GA9" s="102">
        <v>18</v>
      </c>
      <c r="GB9" s="102">
        <v>88</v>
      </c>
      <c r="GC9" s="102">
        <v>17</v>
      </c>
      <c r="GD9" s="102">
        <v>100</v>
      </c>
      <c r="GE9" s="102">
        <v>83</v>
      </c>
      <c r="GF9" s="102">
        <v>100</v>
      </c>
      <c r="GG9" s="102">
        <v>30</v>
      </c>
      <c r="GH9" s="102">
        <v>57</v>
      </c>
      <c r="GI9" s="102">
        <v>20</v>
      </c>
      <c r="GJ9" s="102">
        <v>100</v>
      </c>
      <c r="GK9" s="102">
        <v>14</v>
      </c>
      <c r="GL9" s="102">
        <v>23.684210526315791</v>
      </c>
      <c r="GM9" s="102">
        <v>18.181818181818183</v>
      </c>
      <c r="GN9" s="102">
        <v>55.555555555555557</v>
      </c>
      <c r="GO9" s="102">
        <v>12.5</v>
      </c>
      <c r="GP9" s="102">
        <v>100</v>
      </c>
      <c r="GQ9" s="102">
        <v>50</v>
      </c>
      <c r="GR9" s="102">
        <v>39.473684210526315</v>
      </c>
      <c r="GS9" s="102">
        <v>18.181818181818183</v>
      </c>
      <c r="GT9" s="102">
        <v>100</v>
      </c>
      <c r="GU9" s="102">
        <v>0</v>
      </c>
      <c r="GV9" s="102">
        <v>75</v>
      </c>
      <c r="GW9" s="102">
        <v>0</v>
      </c>
      <c r="GX9" s="97">
        <v>38.70967741935484</v>
      </c>
      <c r="GY9" s="97">
        <v>20</v>
      </c>
      <c r="GZ9" s="97">
        <v>28.571428571428569</v>
      </c>
      <c r="HA9" s="97">
        <v>0</v>
      </c>
      <c r="HB9">
        <v>100</v>
      </c>
      <c r="HC9" s="97">
        <v>86.666666666666671</v>
      </c>
      <c r="HD9" s="97"/>
      <c r="HE9" s="97"/>
      <c r="HF9" s="97"/>
      <c r="HG9" s="97"/>
      <c r="HH9" s="97"/>
      <c r="HI9" s="97"/>
    </row>
    <row r="10" spans="1:217" x14ac:dyDescent="0.25">
      <c r="A10" s="111" t="s">
        <v>43</v>
      </c>
      <c r="B10" s="32"/>
      <c r="C10" s="32"/>
      <c r="D10" s="33"/>
      <c r="E10" s="33"/>
      <c r="F10" s="33"/>
      <c r="G10" s="33"/>
      <c r="H10" s="32"/>
      <c r="I10" s="32"/>
      <c r="J10" s="33"/>
      <c r="K10" s="33"/>
      <c r="L10" s="33"/>
      <c r="M10" s="33"/>
      <c r="N10" s="32"/>
      <c r="O10" s="32"/>
      <c r="P10" s="33"/>
      <c r="Q10" s="33"/>
      <c r="R10" s="33"/>
      <c r="S10" s="33"/>
      <c r="T10" s="32"/>
      <c r="U10" s="32"/>
      <c r="V10" s="33"/>
      <c r="W10" s="33"/>
      <c r="X10" s="33"/>
      <c r="Y10" s="33"/>
      <c r="Z10" s="32"/>
      <c r="AA10" s="32"/>
      <c r="AB10" s="33"/>
      <c r="AC10" s="33"/>
      <c r="AD10" s="33"/>
      <c r="AE10" s="33"/>
      <c r="AF10" s="32"/>
      <c r="AG10" s="32"/>
      <c r="AH10" s="33"/>
      <c r="AI10" s="33"/>
      <c r="AJ10" s="33"/>
      <c r="AK10" s="33"/>
      <c r="AL10" s="32"/>
      <c r="AM10" s="32"/>
      <c r="AN10" s="33"/>
      <c r="AO10" s="33"/>
      <c r="AP10" s="33"/>
      <c r="AQ10" s="33"/>
      <c r="AR10" s="32"/>
      <c r="AS10" s="32"/>
      <c r="AT10" s="33"/>
      <c r="AU10" s="33"/>
      <c r="AV10" s="33"/>
      <c r="AW10" s="33"/>
      <c r="AX10" s="32"/>
      <c r="AY10" s="32"/>
      <c r="AZ10" s="33"/>
      <c r="BA10" s="33"/>
      <c r="BB10" s="33"/>
      <c r="BC10" s="33"/>
      <c r="BD10" s="32"/>
      <c r="BE10" s="32"/>
      <c r="BF10" s="33"/>
      <c r="BG10" s="33"/>
      <c r="BH10" s="33"/>
      <c r="BI10" s="33"/>
      <c r="BJ10" s="32"/>
      <c r="BK10" s="32"/>
      <c r="BL10" s="33"/>
      <c r="BM10" s="33"/>
      <c r="BN10" s="33"/>
      <c r="BO10" s="33"/>
      <c r="BP10" s="32"/>
      <c r="BQ10" s="32"/>
      <c r="BR10" s="33"/>
      <c r="BS10" s="33"/>
      <c r="BT10" s="33"/>
      <c r="BU10" s="33"/>
      <c r="BV10" s="32"/>
      <c r="BW10" s="32"/>
      <c r="BX10" s="33"/>
      <c r="BY10" s="33"/>
      <c r="BZ10" s="33"/>
      <c r="CA10" s="33"/>
      <c r="CB10" s="32"/>
      <c r="CC10" s="32"/>
      <c r="CD10" s="33"/>
      <c r="CE10" s="33"/>
      <c r="CF10" s="33"/>
      <c r="CG10" s="33"/>
      <c r="CH10" s="32"/>
      <c r="CI10" s="32"/>
      <c r="CJ10" s="33"/>
      <c r="CK10" s="33"/>
      <c r="CL10" s="33"/>
      <c r="CM10" s="33"/>
      <c r="CN10" s="32"/>
      <c r="CO10" s="32"/>
      <c r="CP10" s="33"/>
      <c r="CQ10" s="33"/>
      <c r="CR10" s="33"/>
      <c r="CS10" s="33"/>
      <c r="CT10" s="32"/>
      <c r="CU10" s="32"/>
      <c r="CV10" s="33"/>
      <c r="CW10" s="33"/>
      <c r="CX10" s="33"/>
      <c r="CY10" s="33"/>
      <c r="CZ10" s="32"/>
      <c r="DA10" s="32"/>
      <c r="DB10" s="33"/>
      <c r="DC10" s="33"/>
      <c r="DD10" s="33"/>
      <c r="DE10" s="33"/>
      <c r="DF10" s="32"/>
      <c r="DG10" s="32"/>
      <c r="DH10" s="33"/>
      <c r="DI10" s="33"/>
      <c r="DJ10" s="33"/>
      <c r="DK10" s="33"/>
      <c r="DL10" s="32">
        <v>77.036272710750481</v>
      </c>
      <c r="DM10" s="32">
        <v>83.333333333333329</v>
      </c>
      <c r="DN10" s="33">
        <v>12.5</v>
      </c>
      <c r="DO10" s="33">
        <v>8.3333333333333339</v>
      </c>
      <c r="DP10" s="33">
        <v>46.346280447662942</v>
      </c>
      <c r="DQ10" s="33">
        <v>100</v>
      </c>
      <c r="DR10" s="86">
        <v>89.954337899543376</v>
      </c>
      <c r="DS10" s="86">
        <v>91.228070175438575</v>
      </c>
      <c r="DT10" s="86">
        <v>77.5</v>
      </c>
      <c r="DU10" s="86">
        <v>79.687500000000014</v>
      </c>
      <c r="DV10" s="86">
        <v>56.25</v>
      </c>
      <c r="DW10" s="86">
        <v>51.470588235294116</v>
      </c>
      <c r="DX10" s="102">
        <v>84.615384615384627</v>
      </c>
      <c r="DY10" s="102">
        <v>94.444444444444457</v>
      </c>
      <c r="DZ10" s="102">
        <v>45</v>
      </c>
      <c r="EA10" s="102">
        <v>69.444444444444429</v>
      </c>
      <c r="EB10" s="102">
        <v>28.125</v>
      </c>
      <c r="EC10" s="102">
        <v>51.666666666666671</v>
      </c>
      <c r="ED10" s="102">
        <v>83.997232461126998</v>
      </c>
      <c r="EE10" s="102">
        <v>88.888888888888914</v>
      </c>
      <c r="EF10" s="102">
        <v>20</v>
      </c>
      <c r="EG10" s="102">
        <v>48.780487804878035</v>
      </c>
      <c r="EH10" s="102">
        <v>34.375</v>
      </c>
      <c r="EI10" s="102">
        <v>60</v>
      </c>
      <c r="EJ10" s="102">
        <v>86.44859813084112</v>
      </c>
      <c r="EK10" s="102">
        <v>96.296296296296305</v>
      </c>
      <c r="EL10" s="102">
        <v>52.777777777777779</v>
      </c>
      <c r="EM10" s="102">
        <v>19.565217391304344</v>
      </c>
      <c r="EN10" s="102">
        <v>46.875</v>
      </c>
      <c r="EO10" s="102">
        <v>37.704918032786885</v>
      </c>
      <c r="EP10" s="102">
        <v>67.567567567567565</v>
      </c>
      <c r="EQ10" s="102">
        <v>81.481481481481495</v>
      </c>
      <c r="ER10" s="102">
        <v>72.5</v>
      </c>
      <c r="ES10" s="102">
        <v>64.583333333333343</v>
      </c>
      <c r="ET10" s="102">
        <v>63</v>
      </c>
      <c r="EU10" s="102">
        <v>5.0847457627118651</v>
      </c>
      <c r="EV10" s="102">
        <v>73</v>
      </c>
      <c r="EW10" s="102">
        <v>70</v>
      </c>
      <c r="EX10" s="102">
        <v>60</v>
      </c>
      <c r="EY10" s="102">
        <v>69</v>
      </c>
      <c r="EZ10" s="102">
        <v>44</v>
      </c>
      <c r="FA10" s="102">
        <v>30</v>
      </c>
      <c r="FB10" s="102">
        <v>66.666666666666657</v>
      </c>
      <c r="FC10" s="102">
        <v>83.928571428571416</v>
      </c>
      <c r="FD10" s="102">
        <v>48.387096774193552</v>
      </c>
      <c r="FE10" s="102">
        <v>81.249999999999986</v>
      </c>
      <c r="FF10" s="102">
        <v>32</v>
      </c>
      <c r="FG10" s="102">
        <v>7.9365079365079358</v>
      </c>
      <c r="FH10" s="102">
        <v>62.869198312236293</v>
      </c>
      <c r="FI10" s="102">
        <v>67.27272727272728</v>
      </c>
      <c r="FJ10" s="102">
        <v>52.5</v>
      </c>
      <c r="FK10" s="102">
        <v>35.416666666666671</v>
      </c>
      <c r="FL10" s="102">
        <v>78.125</v>
      </c>
      <c r="FM10" s="102">
        <v>9.375</v>
      </c>
      <c r="FN10" s="102">
        <v>73.72881355932202</v>
      </c>
      <c r="FO10" s="102">
        <v>65.454545454545467</v>
      </c>
      <c r="FP10" s="102">
        <v>61.53846153846154</v>
      </c>
      <c r="FQ10" s="102">
        <v>16.666666666666664</v>
      </c>
      <c r="FR10" s="102">
        <v>70</v>
      </c>
      <c r="FS10" s="102">
        <v>23.809523809523807</v>
      </c>
      <c r="FT10" s="102">
        <v>74.752475247524757</v>
      </c>
      <c r="FU10" s="102">
        <v>54.716981132075482</v>
      </c>
      <c r="FV10" s="102">
        <v>31.428571428571434</v>
      </c>
      <c r="FW10" s="102">
        <v>50</v>
      </c>
      <c r="FX10" s="102">
        <v>79.310344827586206</v>
      </c>
      <c r="FY10" s="102">
        <v>33.333333333333329</v>
      </c>
      <c r="FZ10" s="102">
        <v>44</v>
      </c>
      <c r="GA10" s="102">
        <v>9</v>
      </c>
      <c r="GB10" s="102">
        <v>0</v>
      </c>
      <c r="GC10" s="102">
        <v>33</v>
      </c>
      <c r="GD10" s="102">
        <v>0</v>
      </c>
      <c r="GE10" s="102">
        <v>0</v>
      </c>
      <c r="GF10" s="102">
        <v>24</v>
      </c>
      <c r="GG10" s="102">
        <v>20</v>
      </c>
      <c r="GH10" s="102">
        <v>29</v>
      </c>
      <c r="GI10" s="102">
        <v>30</v>
      </c>
      <c r="GJ10" s="102">
        <v>17</v>
      </c>
      <c r="GK10" s="102">
        <v>0</v>
      </c>
      <c r="GL10" s="102">
        <v>21.05263157894737</v>
      </c>
      <c r="GM10" s="102">
        <v>0</v>
      </c>
      <c r="GN10" s="102">
        <v>11.111111111111111</v>
      </c>
      <c r="GO10" s="102">
        <v>100</v>
      </c>
      <c r="GP10" s="102">
        <v>0</v>
      </c>
      <c r="GQ10" s="102">
        <v>25</v>
      </c>
      <c r="GR10" s="102">
        <v>26.315789473684209</v>
      </c>
      <c r="GS10" s="102">
        <v>9.0909090909090917</v>
      </c>
      <c r="GT10" s="102">
        <v>28.571428571428569</v>
      </c>
      <c r="GU10" s="102">
        <v>66.666666666666657</v>
      </c>
      <c r="GV10" s="102">
        <v>25</v>
      </c>
      <c r="GW10" s="102">
        <v>21.428571428571427</v>
      </c>
      <c r="GX10" s="119">
        <v>29.032258064516125</v>
      </c>
      <c r="GY10" s="97">
        <v>20</v>
      </c>
      <c r="GZ10" s="97">
        <v>42.857142857142854</v>
      </c>
      <c r="HA10" s="97">
        <v>100</v>
      </c>
      <c r="HB10">
        <v>0</v>
      </c>
      <c r="HC10" s="97">
        <v>46.666666666666664</v>
      </c>
      <c r="HD10" s="97"/>
      <c r="HE10" s="97"/>
      <c r="HF10" s="97"/>
      <c r="HG10" s="97"/>
      <c r="HH10" s="97"/>
      <c r="HI10" s="97"/>
    </row>
    <row r="11" spans="1:217" x14ac:dyDescent="0.25">
      <c r="A11" s="111" t="s">
        <v>41</v>
      </c>
      <c r="B11" s="32"/>
      <c r="C11" s="32"/>
      <c r="D11" s="33"/>
      <c r="E11" s="33"/>
      <c r="F11" s="33"/>
      <c r="G11" s="33"/>
      <c r="H11" s="32"/>
      <c r="I11" s="32"/>
      <c r="J11" s="33"/>
      <c r="K11" s="33"/>
      <c r="L11" s="33"/>
      <c r="M11" s="33"/>
      <c r="N11" s="32"/>
      <c r="O11" s="32"/>
      <c r="P11" s="33"/>
      <c r="Q11" s="33"/>
      <c r="R11" s="33"/>
      <c r="S11" s="33"/>
      <c r="T11" s="32"/>
      <c r="U11" s="32"/>
      <c r="V11" s="33"/>
      <c r="W11" s="33"/>
      <c r="X11" s="33"/>
      <c r="Y11" s="33"/>
      <c r="Z11" s="32"/>
      <c r="AA11" s="32"/>
      <c r="AB11" s="33"/>
      <c r="AC11" s="33"/>
      <c r="AD11" s="33"/>
      <c r="AE11" s="33"/>
      <c r="AF11" s="32"/>
      <c r="AG11" s="32"/>
      <c r="AH11" s="33"/>
      <c r="AI11" s="33"/>
      <c r="AJ11" s="33"/>
      <c r="AK11" s="33"/>
      <c r="AL11" s="32"/>
      <c r="AM11" s="32"/>
      <c r="AN11" s="33"/>
      <c r="AO11" s="33"/>
      <c r="AP11" s="33"/>
      <c r="AQ11" s="33"/>
      <c r="AR11" s="32"/>
      <c r="AS11" s="32"/>
      <c r="AT11" s="33"/>
      <c r="AU11" s="33"/>
      <c r="AV11" s="33"/>
      <c r="AW11" s="33"/>
      <c r="AX11" s="32"/>
      <c r="AY11" s="32"/>
      <c r="AZ11" s="33"/>
      <c r="BA11" s="33"/>
      <c r="BB11" s="33"/>
      <c r="BC11" s="33"/>
      <c r="BD11" s="32"/>
      <c r="BE11" s="32"/>
      <c r="BF11" s="33"/>
      <c r="BG11" s="33"/>
      <c r="BH11" s="33"/>
      <c r="BI11" s="33"/>
      <c r="BJ11" s="32"/>
      <c r="BK11" s="32"/>
      <c r="BL11" s="33"/>
      <c r="BM11" s="33"/>
      <c r="BN11" s="33"/>
      <c r="BO11" s="33"/>
      <c r="BP11" s="32"/>
      <c r="BQ11" s="32"/>
      <c r="BR11" s="33"/>
      <c r="BS11" s="33"/>
      <c r="BT11" s="33"/>
      <c r="BU11" s="33"/>
      <c r="BV11" s="32"/>
      <c r="BW11" s="32"/>
      <c r="BX11" s="33"/>
      <c r="BY11" s="33"/>
      <c r="BZ11" s="33"/>
      <c r="CA11" s="33"/>
      <c r="CB11" s="32"/>
      <c r="CC11" s="32"/>
      <c r="CD11" s="33"/>
      <c r="CE11" s="33"/>
      <c r="CF11" s="33"/>
      <c r="CG11" s="33"/>
      <c r="CH11" s="32"/>
      <c r="CI11" s="32"/>
      <c r="CJ11" s="33"/>
      <c r="CK11" s="33"/>
      <c r="CL11" s="33"/>
      <c r="CM11" s="33"/>
      <c r="CN11" s="32"/>
      <c r="CO11" s="32"/>
      <c r="CP11" s="33"/>
      <c r="CQ11" s="33"/>
      <c r="CR11" s="33"/>
      <c r="CS11" s="33"/>
      <c r="CT11" s="32"/>
      <c r="CU11" s="32"/>
      <c r="CV11" s="33"/>
      <c r="CW11" s="33"/>
      <c r="CX11" s="33"/>
      <c r="CY11" s="33"/>
      <c r="CZ11" s="32"/>
      <c r="DA11" s="32"/>
      <c r="DB11" s="33"/>
      <c r="DC11" s="33"/>
      <c r="DD11" s="33"/>
      <c r="DE11" s="33"/>
      <c r="DF11" s="32"/>
      <c r="DG11" s="32"/>
      <c r="DH11" s="33"/>
      <c r="DI11" s="33"/>
      <c r="DJ11" s="33"/>
      <c r="DK11" s="33"/>
      <c r="DL11" s="32">
        <v>68.06629575127954</v>
      </c>
      <c r="DM11" s="32">
        <v>95.833333333333343</v>
      </c>
      <c r="DN11" s="33">
        <v>7.5</v>
      </c>
      <c r="DO11" s="33">
        <v>63.020833333333336</v>
      </c>
      <c r="DP11" s="33">
        <v>21.066491112574063</v>
      </c>
      <c r="DQ11" s="33">
        <v>50.909090909090907</v>
      </c>
      <c r="DR11" s="86">
        <v>75.342465753424662</v>
      </c>
      <c r="DS11" s="86">
        <v>85.964912280701739</v>
      </c>
      <c r="DT11" s="86">
        <v>50</v>
      </c>
      <c r="DU11" s="86">
        <v>42.187500000000007</v>
      </c>
      <c r="DV11" s="86">
        <v>50</v>
      </c>
      <c r="DW11" s="86">
        <v>38.235294117647051</v>
      </c>
      <c r="DX11" s="102">
        <v>86.877828054298647</v>
      </c>
      <c r="DY11" s="102">
        <v>92.592592592592609</v>
      </c>
      <c r="DZ11" s="102">
        <v>77.5</v>
      </c>
      <c r="EA11" s="102">
        <v>100</v>
      </c>
      <c r="EB11" s="102">
        <v>65.625</v>
      </c>
      <c r="EC11" s="102">
        <v>56.666666666666664</v>
      </c>
      <c r="ED11" s="102">
        <v>95.774647887323951</v>
      </c>
      <c r="EE11" s="102">
        <v>92.592592592592609</v>
      </c>
      <c r="EF11" s="102">
        <v>80</v>
      </c>
      <c r="EG11" s="102">
        <v>100</v>
      </c>
      <c r="EH11" s="102">
        <v>75</v>
      </c>
      <c r="EI11" s="102">
        <v>86.666666666666671</v>
      </c>
      <c r="EJ11" s="102">
        <v>97.196261682242991</v>
      </c>
      <c r="EK11" s="102">
        <v>100</v>
      </c>
      <c r="EL11" s="102">
        <v>58.333333333333336</v>
      </c>
      <c r="EM11" s="102">
        <v>100</v>
      </c>
      <c r="EN11" s="102">
        <v>68.75</v>
      </c>
      <c r="EO11" s="102">
        <v>100</v>
      </c>
      <c r="EP11" s="102">
        <v>100</v>
      </c>
      <c r="EQ11" s="102">
        <v>100</v>
      </c>
      <c r="ER11" s="102">
        <v>100</v>
      </c>
      <c r="ES11" s="102">
        <v>95.833333333333343</v>
      </c>
      <c r="ET11" s="102">
        <v>93.75</v>
      </c>
      <c r="EU11" s="102">
        <v>100</v>
      </c>
      <c r="EV11" s="102">
        <v>100</v>
      </c>
      <c r="EW11" s="102">
        <v>100</v>
      </c>
      <c r="EX11" s="102">
        <v>100</v>
      </c>
      <c r="EY11" s="102">
        <v>87</v>
      </c>
      <c r="EZ11" s="102">
        <v>100</v>
      </c>
      <c r="FA11" s="102">
        <v>100</v>
      </c>
      <c r="FB11" s="102">
        <v>100</v>
      </c>
      <c r="FC11" s="102">
        <v>100</v>
      </c>
      <c r="FD11" s="102">
        <v>100</v>
      </c>
      <c r="FE11" s="102">
        <v>100</v>
      </c>
      <c r="FF11" s="102">
        <v>100</v>
      </c>
      <c r="FG11" s="102">
        <v>100</v>
      </c>
      <c r="FH11" s="102">
        <v>100</v>
      </c>
      <c r="FI11" s="102">
        <v>100</v>
      </c>
      <c r="FJ11" s="102">
        <v>95</v>
      </c>
      <c r="FK11" s="102">
        <v>100</v>
      </c>
      <c r="FL11" s="102">
        <v>96.875</v>
      </c>
      <c r="FM11" s="102">
        <v>100</v>
      </c>
      <c r="FN11" s="102">
        <v>100</v>
      </c>
      <c r="FO11" s="102">
        <v>100</v>
      </c>
      <c r="FP11" s="102">
        <v>100</v>
      </c>
      <c r="FQ11" s="102">
        <v>100</v>
      </c>
      <c r="FR11" s="102">
        <v>100</v>
      </c>
      <c r="FS11" s="102">
        <v>95.238095238095227</v>
      </c>
      <c r="FT11" s="102">
        <v>100</v>
      </c>
      <c r="FU11" s="102">
        <v>100</v>
      </c>
      <c r="FV11" s="102">
        <v>88.571428571428569</v>
      </c>
      <c r="FW11" s="102">
        <v>79.999999999999972</v>
      </c>
      <c r="FX11" s="102">
        <v>100</v>
      </c>
      <c r="FY11" s="102">
        <v>68.627450980392155</v>
      </c>
      <c r="FZ11" s="102">
        <v>100</v>
      </c>
      <c r="GA11" s="102">
        <v>100</v>
      </c>
      <c r="GB11" s="102">
        <v>100</v>
      </c>
      <c r="GC11" s="102">
        <v>100</v>
      </c>
      <c r="GD11" s="102">
        <v>80</v>
      </c>
      <c r="GE11" s="102">
        <v>33</v>
      </c>
      <c r="GF11" s="102">
        <v>86</v>
      </c>
      <c r="GG11" s="102">
        <v>100</v>
      </c>
      <c r="GH11" s="102">
        <v>71</v>
      </c>
      <c r="GI11" s="102">
        <v>90</v>
      </c>
      <c r="GJ11" s="102">
        <v>33</v>
      </c>
      <c r="GK11" s="102">
        <v>21</v>
      </c>
      <c r="GL11" s="102">
        <v>100</v>
      </c>
      <c r="GM11" s="102">
        <v>100</v>
      </c>
      <c r="GN11" s="102">
        <v>100</v>
      </c>
      <c r="GO11" s="102">
        <v>25</v>
      </c>
      <c r="GP11" s="102">
        <v>71.428571428571431</v>
      </c>
      <c r="GQ11" s="102">
        <v>41.666666666666671</v>
      </c>
      <c r="GR11" s="102">
        <v>89.473684210526315</v>
      </c>
      <c r="GS11" s="102">
        <v>100</v>
      </c>
      <c r="GT11" s="102">
        <v>85.714285714285708</v>
      </c>
      <c r="GU11" s="102">
        <v>66.666666666666657</v>
      </c>
      <c r="GV11" s="102">
        <v>50</v>
      </c>
      <c r="GW11" s="102">
        <v>92.857142857142861</v>
      </c>
      <c r="GX11" s="97">
        <v>83.870967741935473</v>
      </c>
      <c r="GY11" s="97">
        <v>100</v>
      </c>
      <c r="GZ11" s="97">
        <v>100</v>
      </c>
      <c r="HA11" s="97">
        <v>85.714285714285708</v>
      </c>
      <c r="HB11">
        <v>40</v>
      </c>
      <c r="HC11" s="97">
        <v>0</v>
      </c>
      <c r="HD11" s="97"/>
      <c r="HE11" s="97"/>
      <c r="HF11" s="97"/>
      <c r="HG11" s="97"/>
      <c r="HH11" s="97"/>
      <c r="HI11" s="97"/>
    </row>
    <row r="12" spans="1:217" x14ac:dyDescent="0.25">
      <c r="A12" s="15" t="s">
        <v>46</v>
      </c>
      <c r="B12" s="32"/>
      <c r="C12" s="32"/>
      <c r="D12" s="33"/>
      <c r="E12" s="33"/>
      <c r="F12" s="33"/>
      <c r="G12" s="33"/>
      <c r="H12" s="32"/>
      <c r="I12" s="32"/>
      <c r="J12" s="33"/>
      <c r="K12" s="33"/>
      <c r="L12" s="33"/>
      <c r="M12" s="33"/>
      <c r="N12" s="32"/>
      <c r="O12" s="32"/>
      <c r="P12" s="33"/>
      <c r="Q12" s="33"/>
      <c r="R12" s="33"/>
      <c r="S12" s="33"/>
      <c r="T12" s="32"/>
      <c r="U12" s="32"/>
      <c r="V12" s="33"/>
      <c r="W12" s="33"/>
      <c r="X12" s="33"/>
      <c r="Y12" s="33"/>
      <c r="Z12" s="32"/>
      <c r="AA12" s="32"/>
      <c r="AB12" s="33"/>
      <c r="AC12" s="33"/>
      <c r="AD12" s="33"/>
      <c r="AE12" s="33"/>
      <c r="AF12" s="32"/>
      <c r="AG12" s="32"/>
      <c r="AH12" s="33"/>
      <c r="AI12" s="33"/>
      <c r="AJ12" s="33"/>
      <c r="AK12" s="33"/>
      <c r="AL12" s="32"/>
      <c r="AM12" s="32"/>
      <c r="AN12" s="33"/>
      <c r="AO12" s="33"/>
      <c r="AP12" s="33"/>
      <c r="AQ12" s="33"/>
      <c r="AR12" s="32"/>
      <c r="AS12" s="32"/>
      <c r="AT12" s="33"/>
      <c r="AU12" s="33"/>
      <c r="AV12" s="33"/>
      <c r="AW12" s="33"/>
      <c r="AX12" s="32"/>
      <c r="AY12" s="32"/>
      <c r="AZ12" s="33"/>
      <c r="BA12" s="33"/>
      <c r="BB12" s="33"/>
      <c r="BC12" s="33"/>
      <c r="BD12" s="32"/>
      <c r="BE12" s="32"/>
      <c r="BF12" s="33"/>
      <c r="BG12" s="33"/>
      <c r="BH12" s="33"/>
      <c r="BI12" s="33"/>
      <c r="BJ12" s="32"/>
      <c r="BK12" s="32"/>
      <c r="BL12" s="33"/>
      <c r="BM12" s="33"/>
      <c r="BN12" s="33"/>
      <c r="BO12" s="33"/>
      <c r="BP12" s="32"/>
      <c r="BQ12" s="32"/>
      <c r="BR12" s="33"/>
      <c r="BS12" s="33"/>
      <c r="BT12" s="33"/>
      <c r="BU12" s="33"/>
      <c r="BV12" s="32"/>
      <c r="BW12" s="32"/>
      <c r="BX12" s="33"/>
      <c r="BY12" s="33"/>
      <c r="BZ12" s="33"/>
      <c r="CA12" s="33"/>
      <c r="CB12" s="32"/>
      <c r="CC12" s="32"/>
      <c r="CD12" s="33"/>
      <c r="CE12" s="33"/>
      <c r="CF12" s="33"/>
      <c r="CG12" s="33"/>
      <c r="CH12" s="32"/>
      <c r="CI12" s="32"/>
      <c r="CJ12" s="33"/>
      <c r="CK12" s="33"/>
      <c r="CL12" s="33"/>
      <c r="CM12" s="33"/>
      <c r="CN12" s="32"/>
      <c r="CO12" s="32"/>
      <c r="CP12" s="33"/>
      <c r="CQ12" s="33"/>
      <c r="CR12" s="33"/>
      <c r="CS12" s="33"/>
      <c r="CT12" s="32"/>
      <c r="CU12" s="32"/>
      <c r="CV12" s="33"/>
      <c r="CW12" s="33"/>
      <c r="CX12" s="33"/>
      <c r="CY12" s="33"/>
      <c r="CZ12" s="32"/>
      <c r="DA12" s="32"/>
      <c r="DB12" s="33"/>
      <c r="DC12" s="33"/>
      <c r="DD12" s="33"/>
      <c r="DE12" s="33"/>
      <c r="DF12" s="32"/>
      <c r="DG12" s="32"/>
      <c r="DH12" s="33"/>
      <c r="DI12" s="33"/>
      <c r="DJ12" s="33"/>
      <c r="DK12" s="33"/>
      <c r="DL12" s="32">
        <v>67.346938775510196</v>
      </c>
      <c r="DM12" s="32">
        <v>58.333333333333336</v>
      </c>
      <c r="DN12" s="33">
        <v>15</v>
      </c>
      <c r="DO12" s="33">
        <v>11.670524691358024</v>
      </c>
      <c r="DP12" s="33">
        <v>46.346280447662942</v>
      </c>
      <c r="DQ12" s="33">
        <v>14.545454545454545</v>
      </c>
      <c r="DR12" s="86">
        <v>43.835616438356162</v>
      </c>
      <c r="DS12" s="86">
        <v>82.456140350877192</v>
      </c>
      <c r="DT12" s="86">
        <v>70</v>
      </c>
      <c r="DU12" s="86">
        <v>9.3749999999999982</v>
      </c>
      <c r="DV12" s="86">
        <v>28.125</v>
      </c>
      <c r="DW12" s="86">
        <v>0</v>
      </c>
      <c r="DX12" s="102">
        <v>46.15384615384616</v>
      </c>
      <c r="DY12" s="102">
        <v>68.518518518518505</v>
      </c>
      <c r="DZ12" s="102">
        <v>50</v>
      </c>
      <c r="EA12" s="102">
        <v>22.222222222222218</v>
      </c>
      <c r="EB12" s="102">
        <v>0</v>
      </c>
      <c r="EC12" s="102">
        <v>0</v>
      </c>
      <c r="ED12" s="102">
        <v>24.4131455399061</v>
      </c>
      <c r="EE12" s="102">
        <v>51.851851851851848</v>
      </c>
      <c r="EF12" s="102">
        <v>77.5</v>
      </c>
      <c r="EG12" s="102">
        <v>0</v>
      </c>
      <c r="EH12" s="102">
        <v>6.25</v>
      </c>
      <c r="EI12" s="102">
        <v>0</v>
      </c>
      <c r="EJ12" s="102">
        <v>22.89719626168224</v>
      </c>
      <c r="EK12" s="102">
        <v>42.592592592592595</v>
      </c>
      <c r="EL12" s="102">
        <v>0</v>
      </c>
      <c r="EM12" s="102">
        <v>0</v>
      </c>
      <c r="EN12" s="102">
        <v>0</v>
      </c>
      <c r="EO12" s="102">
        <v>0</v>
      </c>
      <c r="EP12" s="102">
        <v>48.648648648648646</v>
      </c>
      <c r="EQ12" s="102">
        <v>68.518518518518519</v>
      </c>
      <c r="ER12" s="102">
        <v>15</v>
      </c>
      <c r="ES12" s="102">
        <v>100</v>
      </c>
      <c r="ET12" s="102">
        <v>0</v>
      </c>
      <c r="EU12" s="102">
        <v>5.0847457627118651</v>
      </c>
      <c r="EV12" s="102">
        <v>47</v>
      </c>
      <c r="EW12" s="102">
        <v>61</v>
      </c>
      <c r="EX12" s="102">
        <v>3</v>
      </c>
      <c r="EY12" s="102">
        <v>85</v>
      </c>
      <c r="EZ12" s="102">
        <v>0</v>
      </c>
      <c r="FA12" s="102">
        <v>0</v>
      </c>
      <c r="FB12" s="102">
        <v>55.128205128205131</v>
      </c>
      <c r="FC12" s="102">
        <v>71.428571428571402</v>
      </c>
      <c r="FD12" s="102">
        <v>22.58064516129032</v>
      </c>
      <c r="FE12" s="102">
        <v>95.833333333333343</v>
      </c>
      <c r="FF12" s="102">
        <v>12</v>
      </c>
      <c r="FG12" s="102">
        <v>0</v>
      </c>
      <c r="FH12" s="102">
        <v>54.008438818565409</v>
      </c>
      <c r="FI12" s="102">
        <v>81.818181818181841</v>
      </c>
      <c r="FJ12" s="102">
        <v>17.5</v>
      </c>
      <c r="FK12" s="102">
        <v>16.666666666666664</v>
      </c>
      <c r="FL12" s="102">
        <v>37.5</v>
      </c>
      <c r="FM12" s="102">
        <v>0</v>
      </c>
      <c r="FN12" s="102">
        <v>41.525423728813557</v>
      </c>
      <c r="FO12" s="102">
        <v>83.63636363636364</v>
      </c>
      <c r="FP12" s="102">
        <v>51.282051282051277</v>
      </c>
      <c r="FQ12" s="102">
        <v>0</v>
      </c>
      <c r="FR12" s="102">
        <v>60</v>
      </c>
      <c r="FS12" s="102">
        <v>17.460317460317459</v>
      </c>
      <c r="FT12" s="102">
        <v>57.920792079207914</v>
      </c>
      <c r="FU12" s="102">
        <v>66.037735849056617</v>
      </c>
      <c r="FV12" s="102">
        <v>20</v>
      </c>
      <c r="FW12" s="102">
        <v>7.5</v>
      </c>
      <c r="FX12" s="102">
        <v>62.068965517241381</v>
      </c>
      <c r="FY12" s="102">
        <v>19.607843137254903</v>
      </c>
      <c r="FZ12" s="102">
        <v>61</v>
      </c>
      <c r="GA12" s="102">
        <v>91</v>
      </c>
      <c r="GB12" s="102">
        <v>0</v>
      </c>
      <c r="GC12" s="102">
        <v>67</v>
      </c>
      <c r="GD12" s="102">
        <v>0</v>
      </c>
      <c r="GE12" s="102">
        <v>17</v>
      </c>
      <c r="GF12" s="102">
        <v>48</v>
      </c>
      <c r="GG12" s="102">
        <v>40</v>
      </c>
      <c r="GH12" s="102">
        <v>0</v>
      </c>
      <c r="GI12" s="102">
        <v>10</v>
      </c>
      <c r="GJ12" s="102">
        <v>0</v>
      </c>
      <c r="GK12" s="102">
        <v>7</v>
      </c>
      <c r="GL12" s="102">
        <v>28.947368421052634</v>
      </c>
      <c r="GM12" s="102">
        <v>36.363636363636367</v>
      </c>
      <c r="GN12" s="102">
        <v>22.222222222222221</v>
      </c>
      <c r="GO12" s="102">
        <v>25</v>
      </c>
      <c r="GP12" s="102">
        <v>71.428571428571431</v>
      </c>
      <c r="GQ12" s="102">
        <v>25</v>
      </c>
      <c r="GR12" s="102">
        <v>18.421052631578949</v>
      </c>
      <c r="GS12" s="102">
        <v>36.363636363636367</v>
      </c>
      <c r="GT12" s="102">
        <v>0</v>
      </c>
      <c r="GU12" s="102">
        <v>22.222222222222218</v>
      </c>
      <c r="GV12" s="102">
        <v>25</v>
      </c>
      <c r="GW12" s="102">
        <v>0</v>
      </c>
      <c r="GX12" s="97">
        <v>16.129032258064512</v>
      </c>
      <c r="GY12" s="97">
        <v>30</v>
      </c>
      <c r="GZ12" s="97">
        <v>0</v>
      </c>
      <c r="HA12" s="97">
        <v>14.285714285714283</v>
      </c>
      <c r="HB12">
        <v>20</v>
      </c>
      <c r="HC12" s="97">
        <v>0</v>
      </c>
      <c r="HD12" s="97"/>
      <c r="HE12" s="97"/>
      <c r="HF12" s="97"/>
      <c r="HG12" s="97"/>
      <c r="HH12" s="97"/>
      <c r="HI12" s="97"/>
    </row>
    <row r="13" spans="1:217" x14ac:dyDescent="0.25">
      <c r="A13" s="111" t="s">
        <v>226</v>
      </c>
      <c r="B13" s="32"/>
      <c r="C13" s="32"/>
      <c r="D13" s="33"/>
      <c r="E13" s="33"/>
      <c r="F13" s="33"/>
      <c r="G13" s="33"/>
      <c r="H13" s="32"/>
      <c r="I13" s="32"/>
      <c r="J13" s="33"/>
      <c r="K13" s="33"/>
      <c r="L13" s="33"/>
      <c r="M13" s="33"/>
      <c r="N13" s="32"/>
      <c r="O13" s="32"/>
      <c r="P13" s="33"/>
      <c r="Q13" s="33"/>
      <c r="R13" s="33"/>
      <c r="S13" s="33"/>
      <c r="T13" s="32"/>
      <c r="U13" s="32"/>
      <c r="V13" s="33"/>
      <c r="W13" s="33"/>
      <c r="X13" s="33"/>
      <c r="Y13" s="33"/>
      <c r="Z13" s="32"/>
      <c r="AA13" s="32"/>
      <c r="AB13" s="33"/>
      <c r="AC13" s="33"/>
      <c r="AD13" s="33"/>
      <c r="AE13" s="33"/>
      <c r="AF13" s="32"/>
      <c r="AG13" s="32"/>
      <c r="AH13" s="33"/>
      <c r="AI13" s="33"/>
      <c r="AJ13" s="33"/>
      <c r="AK13" s="33"/>
      <c r="AL13" s="32"/>
      <c r="AM13" s="32"/>
      <c r="AN13" s="33"/>
      <c r="AO13" s="33"/>
      <c r="AP13" s="33"/>
      <c r="AQ13" s="33"/>
      <c r="AR13" s="32"/>
      <c r="AS13" s="32"/>
      <c r="AT13" s="33"/>
      <c r="AU13" s="33"/>
      <c r="AV13" s="33"/>
      <c r="AW13" s="33"/>
      <c r="AX13" s="32"/>
      <c r="AY13" s="32"/>
      <c r="AZ13" s="33"/>
      <c r="BA13" s="33"/>
      <c r="BB13" s="33"/>
      <c r="BC13" s="33"/>
      <c r="BD13" s="32"/>
      <c r="BE13" s="32"/>
      <c r="BF13" s="33"/>
      <c r="BG13" s="33"/>
      <c r="BH13" s="33"/>
      <c r="BI13" s="33"/>
      <c r="BJ13" s="32"/>
      <c r="BK13" s="32"/>
      <c r="BL13" s="33"/>
      <c r="BM13" s="33"/>
      <c r="BN13" s="33"/>
      <c r="BO13" s="33"/>
      <c r="BP13" s="32"/>
      <c r="BQ13" s="32"/>
      <c r="BR13" s="33"/>
      <c r="BS13" s="33"/>
      <c r="BT13" s="33"/>
      <c r="BU13" s="33"/>
      <c r="BV13" s="32"/>
      <c r="BW13" s="32"/>
      <c r="BX13" s="33"/>
      <c r="BY13" s="33"/>
      <c r="BZ13" s="33"/>
      <c r="CA13" s="33"/>
      <c r="CB13" s="32"/>
      <c r="CC13" s="32"/>
      <c r="CD13" s="33"/>
      <c r="CE13" s="33"/>
      <c r="CF13" s="33"/>
      <c r="CG13" s="33"/>
      <c r="CH13" s="32"/>
      <c r="CI13" s="32"/>
      <c r="CJ13" s="33"/>
      <c r="CK13" s="33"/>
      <c r="CL13" s="33"/>
      <c r="CM13" s="33"/>
      <c r="CN13" s="32"/>
      <c r="CO13" s="32"/>
      <c r="CP13" s="33"/>
      <c r="CQ13" s="33"/>
      <c r="CR13" s="33"/>
      <c r="CS13" s="33"/>
      <c r="CT13" s="32"/>
      <c r="CU13" s="32"/>
      <c r="CV13" s="33"/>
      <c r="CW13" s="33"/>
      <c r="CX13" s="33"/>
      <c r="CY13" s="33"/>
      <c r="CZ13" s="32"/>
      <c r="DA13" s="32"/>
      <c r="DB13" s="33"/>
      <c r="DC13" s="33"/>
      <c r="DD13" s="33"/>
      <c r="DE13" s="33"/>
      <c r="DF13" s="32"/>
      <c r="DG13" s="32"/>
      <c r="DH13" s="33"/>
      <c r="DI13" s="33"/>
      <c r="DJ13" s="33"/>
      <c r="DK13" s="33"/>
      <c r="DL13" s="32">
        <v>65.306122448979593</v>
      </c>
      <c r="DM13" s="32">
        <v>75</v>
      </c>
      <c r="DN13" s="33">
        <v>30</v>
      </c>
      <c r="DO13" s="33">
        <v>35.011574074074076</v>
      </c>
      <c r="DP13" s="33">
        <v>16.853192890059248</v>
      </c>
      <c r="DQ13" s="33">
        <v>21.818181818181817</v>
      </c>
      <c r="DR13" s="86">
        <v>50.684931506849317</v>
      </c>
      <c r="DS13" s="86">
        <v>73.684210526315795</v>
      </c>
      <c r="DT13" s="86">
        <v>0</v>
      </c>
      <c r="DU13" s="86">
        <v>7.03125</v>
      </c>
      <c r="DV13" s="86">
        <v>0</v>
      </c>
      <c r="DW13" s="86">
        <v>7.3529411764705861</v>
      </c>
      <c r="DX13" s="102">
        <v>46.15384615384616</v>
      </c>
      <c r="DY13" s="102">
        <v>62.962962962962976</v>
      </c>
      <c r="DZ13" s="102">
        <v>5</v>
      </c>
      <c r="EA13" s="102">
        <v>13.888888888888888</v>
      </c>
      <c r="EB13" s="102">
        <v>0</v>
      </c>
      <c r="EC13" s="102">
        <v>3.3333333333333335</v>
      </c>
      <c r="ED13" s="102">
        <v>30.985915492957737</v>
      </c>
      <c r="EE13" s="102">
        <v>40.740740740740748</v>
      </c>
      <c r="EF13" s="102">
        <v>10</v>
      </c>
      <c r="EG13" s="102">
        <v>29.268292682926827</v>
      </c>
      <c r="EH13" s="102">
        <v>9.375</v>
      </c>
      <c r="EI13" s="102">
        <v>3.3333333333333335</v>
      </c>
      <c r="EJ13" s="102">
        <v>29.439252336448597</v>
      </c>
      <c r="EK13" s="102">
        <v>49.999999999999993</v>
      </c>
      <c r="EL13" s="102">
        <v>0</v>
      </c>
      <c r="EM13" s="102">
        <v>28.260869565217391</v>
      </c>
      <c r="EN13" s="102">
        <v>0</v>
      </c>
      <c r="EO13" s="102">
        <v>4.918032786885246</v>
      </c>
      <c r="EP13" s="102">
        <v>53.603603603603602</v>
      </c>
      <c r="EQ13" s="102">
        <v>62.962962962962962</v>
      </c>
      <c r="ER13" s="102">
        <v>15</v>
      </c>
      <c r="ES13" s="102">
        <v>91.666666666666657</v>
      </c>
      <c r="ET13" s="102">
        <v>0</v>
      </c>
      <c r="EU13" s="102">
        <v>0</v>
      </c>
      <c r="EV13" s="102">
        <v>55</v>
      </c>
      <c r="EW13" s="102">
        <v>59</v>
      </c>
      <c r="EX13" s="102">
        <v>0</v>
      </c>
      <c r="EY13" s="102">
        <v>80</v>
      </c>
      <c r="EZ13" s="102">
        <v>0</v>
      </c>
      <c r="FA13" s="102">
        <v>0</v>
      </c>
      <c r="FB13" s="102">
        <v>57.692307692307686</v>
      </c>
      <c r="FC13" s="102">
        <v>69.642857142857125</v>
      </c>
      <c r="FD13" s="102">
        <v>19.35483870967742</v>
      </c>
      <c r="FE13" s="102">
        <v>89.583333333333343</v>
      </c>
      <c r="FF13" s="102">
        <v>8</v>
      </c>
      <c r="FG13" s="102">
        <v>0</v>
      </c>
      <c r="FH13" s="102">
        <v>52.320675105485236</v>
      </c>
      <c r="FI13" s="102">
        <v>78.181818181818201</v>
      </c>
      <c r="FJ13" s="102">
        <v>12.5</v>
      </c>
      <c r="FK13" s="102">
        <v>33.333333333333329</v>
      </c>
      <c r="FL13" s="102">
        <v>34.375</v>
      </c>
      <c r="FM13" s="102">
        <v>10.9375</v>
      </c>
      <c r="FN13" s="102">
        <v>58.898305084745772</v>
      </c>
      <c r="FO13" s="102">
        <v>80.000000000000014</v>
      </c>
      <c r="FP13" s="102">
        <v>43.589743589743591</v>
      </c>
      <c r="FQ13" s="102">
        <v>16.666666666666664</v>
      </c>
      <c r="FR13" s="102">
        <v>46.666666666666664</v>
      </c>
      <c r="FS13" s="102">
        <v>22.222222222222221</v>
      </c>
      <c r="FT13" s="102">
        <v>65.346534653465355</v>
      </c>
      <c r="FU13" s="102">
        <v>69.811320754716988</v>
      </c>
      <c r="FV13" s="102">
        <v>22.857142857142858</v>
      </c>
      <c r="FW13" s="102">
        <v>22.499999999999996</v>
      </c>
      <c r="FX13" s="102">
        <v>51.724137931034484</v>
      </c>
      <c r="FY13" s="102">
        <v>21.568627450980394</v>
      </c>
      <c r="FZ13" s="102">
        <v>47</v>
      </c>
      <c r="GA13" s="102">
        <v>27</v>
      </c>
      <c r="GB13" s="102">
        <v>88</v>
      </c>
      <c r="GC13" s="102">
        <v>100</v>
      </c>
      <c r="GD13" s="102">
        <v>40</v>
      </c>
      <c r="GE13" s="102">
        <v>17</v>
      </c>
      <c r="GF13" s="102">
        <v>93</v>
      </c>
      <c r="GG13" s="102">
        <v>20</v>
      </c>
      <c r="GH13" s="102">
        <v>100</v>
      </c>
      <c r="GI13" s="102">
        <v>100</v>
      </c>
      <c r="GJ13" s="102">
        <v>33</v>
      </c>
      <c r="GK13" s="102">
        <v>14</v>
      </c>
      <c r="GL13" s="102">
        <v>52.631578947368418</v>
      </c>
      <c r="GM13" s="102">
        <v>9.0909090909090917</v>
      </c>
      <c r="GN13" s="102">
        <v>66.666666666666657</v>
      </c>
      <c r="GO13" s="102">
        <v>87.500000000000014</v>
      </c>
      <c r="GP13" s="102">
        <v>0</v>
      </c>
      <c r="GQ13" s="102">
        <v>8.3333333333333321</v>
      </c>
      <c r="GR13" s="102">
        <v>100</v>
      </c>
      <c r="GS13" s="102">
        <v>27.27272727272727</v>
      </c>
      <c r="GT13" s="102">
        <v>100</v>
      </c>
      <c r="GU13" s="102">
        <v>100</v>
      </c>
      <c r="GV13" s="102">
        <v>100</v>
      </c>
      <c r="GW13" s="102">
        <v>7.1428571428571423</v>
      </c>
      <c r="GX13" s="97">
        <v>100</v>
      </c>
      <c r="GY13" s="97">
        <v>60</v>
      </c>
      <c r="GZ13" s="97">
        <v>100</v>
      </c>
      <c r="HA13" s="97">
        <v>85.714285714285708</v>
      </c>
      <c r="HB13">
        <v>40</v>
      </c>
      <c r="HC13" s="97">
        <v>0</v>
      </c>
      <c r="HD13" s="97"/>
      <c r="HE13" s="97"/>
      <c r="HF13" s="97"/>
      <c r="HG13" s="97"/>
      <c r="HH13" s="97"/>
      <c r="HI13" s="97"/>
    </row>
    <row r="14" spans="1:217" ht="15.75" customHeight="1" x14ac:dyDescent="0.25">
      <c r="A14" s="111" t="s">
        <v>7</v>
      </c>
      <c r="B14" s="32"/>
      <c r="C14" s="32"/>
      <c r="D14" s="33"/>
      <c r="E14" s="33"/>
      <c r="F14" s="33"/>
      <c r="G14" s="33"/>
      <c r="H14" s="32"/>
      <c r="I14" s="32"/>
      <c r="J14" s="33"/>
      <c r="K14" s="33"/>
      <c r="L14" s="33"/>
      <c r="M14" s="33"/>
      <c r="N14" s="32"/>
      <c r="O14" s="32"/>
      <c r="P14" s="33"/>
      <c r="Q14" s="33"/>
      <c r="R14" s="33"/>
      <c r="S14" s="33"/>
      <c r="T14" s="32"/>
      <c r="U14" s="32"/>
      <c r="V14" s="33"/>
      <c r="W14" s="33"/>
      <c r="X14" s="33"/>
      <c r="Y14" s="33"/>
      <c r="Z14" s="32"/>
      <c r="AA14" s="32"/>
      <c r="AB14" s="33"/>
      <c r="AC14" s="33"/>
      <c r="AD14" s="33"/>
      <c r="AE14" s="33"/>
      <c r="AF14" s="32"/>
      <c r="AG14" s="32"/>
      <c r="AH14" s="33"/>
      <c r="AI14" s="33"/>
      <c r="AJ14" s="33"/>
      <c r="AK14" s="33"/>
      <c r="AL14" s="32"/>
      <c r="AM14" s="32"/>
      <c r="AN14" s="33"/>
      <c r="AO14" s="33"/>
      <c r="AP14" s="33"/>
      <c r="AQ14" s="33"/>
      <c r="AR14" s="32"/>
      <c r="AS14" s="32"/>
      <c r="AT14" s="33"/>
      <c r="AU14" s="33"/>
      <c r="AV14" s="33"/>
      <c r="AW14" s="33"/>
      <c r="AX14" s="32"/>
      <c r="AY14" s="32"/>
      <c r="AZ14" s="33"/>
      <c r="BA14" s="33"/>
      <c r="BB14" s="33"/>
      <c r="BC14" s="33"/>
      <c r="BD14" s="32"/>
      <c r="BE14" s="32"/>
      <c r="BF14" s="33"/>
      <c r="BG14" s="33"/>
      <c r="BH14" s="33"/>
      <c r="BI14" s="33"/>
      <c r="BJ14" s="32"/>
      <c r="BK14" s="32"/>
      <c r="BL14" s="33"/>
      <c r="BM14" s="33"/>
      <c r="BN14" s="33"/>
      <c r="BO14" s="33"/>
      <c r="BP14" s="32"/>
      <c r="BQ14" s="32"/>
      <c r="BR14" s="33"/>
      <c r="BS14" s="33"/>
      <c r="BT14" s="33"/>
      <c r="BU14" s="33"/>
      <c r="BV14" s="32"/>
      <c r="BW14" s="32"/>
      <c r="BX14" s="33"/>
      <c r="BY14" s="33"/>
      <c r="BZ14" s="33"/>
      <c r="CA14" s="33"/>
      <c r="CB14" s="32"/>
      <c r="CC14" s="32"/>
      <c r="CD14" s="33"/>
      <c r="CE14" s="33"/>
      <c r="CF14" s="33"/>
      <c r="CG14" s="33"/>
      <c r="CH14" s="32"/>
      <c r="CI14" s="32"/>
      <c r="CJ14" s="33"/>
      <c r="CK14" s="33"/>
      <c r="CL14" s="33"/>
      <c r="CM14" s="33"/>
      <c r="CN14" s="32"/>
      <c r="CO14" s="32"/>
      <c r="CP14" s="33"/>
      <c r="CQ14" s="33"/>
      <c r="CR14" s="33"/>
      <c r="CS14" s="33"/>
      <c r="CT14" s="32"/>
      <c r="CU14" s="32"/>
      <c r="CV14" s="33"/>
      <c r="CW14" s="33"/>
      <c r="CX14" s="33"/>
      <c r="CY14" s="33"/>
      <c r="CZ14" s="32"/>
      <c r="DA14" s="32"/>
      <c r="DB14" s="33"/>
      <c r="DC14" s="33"/>
      <c r="DD14" s="33"/>
      <c r="DE14" s="33"/>
      <c r="DF14" s="32"/>
      <c r="DG14" s="32"/>
      <c r="DH14" s="33"/>
      <c r="DI14" s="33"/>
      <c r="DJ14" s="33"/>
      <c r="DK14" s="33"/>
      <c r="DL14" s="32">
        <v>60.151610198805173</v>
      </c>
      <c r="DM14" s="32">
        <v>91.666666666666686</v>
      </c>
      <c r="DN14" s="33">
        <v>72.5</v>
      </c>
      <c r="DO14" s="33">
        <v>2.7777777777777781</v>
      </c>
      <c r="DP14" s="33">
        <v>42.132982225148112</v>
      </c>
      <c r="DQ14" s="33">
        <v>16.363636363636363</v>
      </c>
      <c r="DR14" s="86">
        <v>88.904035502344854</v>
      </c>
      <c r="DS14" s="86">
        <v>63.15789473684211</v>
      </c>
      <c r="DT14" t="s">
        <v>38</v>
      </c>
      <c r="DU14" s="86">
        <v>100</v>
      </c>
      <c r="DV14" s="86">
        <v>65.625</v>
      </c>
      <c r="DW14" t="s">
        <v>38</v>
      </c>
      <c r="DX14" s="102">
        <v>62.263939269286858</v>
      </c>
      <c r="DY14" s="102" t="s">
        <v>38</v>
      </c>
      <c r="DZ14" s="102" t="s">
        <v>38</v>
      </c>
      <c r="EA14" s="102">
        <v>18.75</v>
      </c>
      <c r="EB14" s="102">
        <v>50</v>
      </c>
      <c r="EC14" s="103" t="s">
        <v>38</v>
      </c>
      <c r="ED14" s="102">
        <v>59.40404330746383</v>
      </c>
      <c r="EE14" s="102" t="s">
        <v>172</v>
      </c>
      <c r="EF14" s="102" t="s">
        <v>172</v>
      </c>
      <c r="EG14" s="102">
        <v>0</v>
      </c>
      <c r="EH14" s="102">
        <v>64</v>
      </c>
      <c r="EI14" s="102" t="s">
        <v>172</v>
      </c>
      <c r="EJ14" s="102">
        <v>33.644859813084111</v>
      </c>
      <c r="EK14" s="102">
        <v>14.814814814814817</v>
      </c>
      <c r="EL14" s="102">
        <v>0</v>
      </c>
      <c r="EM14" s="102">
        <v>8.6956521739130412</v>
      </c>
      <c r="EN14" s="102">
        <v>43.75</v>
      </c>
      <c r="EO14" s="102">
        <v>0</v>
      </c>
      <c r="EP14" s="102">
        <v>52.702702702702695</v>
      </c>
      <c r="EQ14" s="102">
        <v>35.185185185185183</v>
      </c>
      <c r="ER14" s="102">
        <v>0</v>
      </c>
      <c r="ES14" s="102">
        <v>62.499999999999986</v>
      </c>
      <c r="ET14" s="102">
        <v>37.5</v>
      </c>
      <c r="EU14" s="102">
        <v>0</v>
      </c>
      <c r="EV14" s="102">
        <v>41</v>
      </c>
      <c r="EW14" s="102">
        <v>5</v>
      </c>
      <c r="EX14" s="102">
        <v>3</v>
      </c>
      <c r="EY14" s="102">
        <v>100</v>
      </c>
      <c r="EZ14" s="102">
        <v>47</v>
      </c>
      <c r="FA14" s="102">
        <v>0</v>
      </c>
      <c r="FB14" s="102">
        <v>46.581196581196586</v>
      </c>
      <c r="FC14" s="102">
        <v>7.1428571428571423</v>
      </c>
      <c r="FD14" s="102">
        <v>9.67741935483871</v>
      </c>
      <c r="FE14" s="102">
        <v>54.16666666666665</v>
      </c>
      <c r="FF14" s="102">
        <v>24</v>
      </c>
      <c r="FG14" s="102">
        <v>0</v>
      </c>
      <c r="FH14" s="102">
        <v>44.303797468354425</v>
      </c>
      <c r="FI14" s="102">
        <v>5.454545454545455</v>
      </c>
      <c r="FJ14" s="102">
        <v>60</v>
      </c>
      <c r="FK14" s="102">
        <v>12.5</v>
      </c>
      <c r="FL14" s="102">
        <v>62.5</v>
      </c>
      <c r="FM14" s="102">
        <v>0</v>
      </c>
      <c r="FN14" s="102">
        <v>33.474576271186443</v>
      </c>
      <c r="FO14" s="102">
        <v>7.2727272727272734</v>
      </c>
      <c r="FP14" s="102">
        <v>10.256410256410255</v>
      </c>
      <c r="FQ14" s="102">
        <v>0</v>
      </c>
      <c r="FR14" s="102">
        <v>43.333333333333336</v>
      </c>
      <c r="FS14" s="102">
        <v>4.7619047619047619</v>
      </c>
      <c r="FT14" s="102">
        <v>35.64356435643564</v>
      </c>
      <c r="FU14" s="102">
        <v>0</v>
      </c>
      <c r="FV14" s="102">
        <v>17.142857142857142</v>
      </c>
      <c r="FW14" s="102">
        <v>0</v>
      </c>
      <c r="FX14" s="102">
        <v>65.517241379310349</v>
      </c>
      <c r="FY14" s="102">
        <v>15.686274509803921</v>
      </c>
      <c r="FZ14" s="102">
        <v>8</v>
      </c>
      <c r="GA14" s="102">
        <v>0</v>
      </c>
      <c r="GB14" s="102">
        <v>0</v>
      </c>
      <c r="GC14" s="102">
        <v>0</v>
      </c>
      <c r="GD14" s="102">
        <v>80</v>
      </c>
      <c r="GE14" s="102">
        <v>0</v>
      </c>
      <c r="GF14" s="102">
        <v>28</v>
      </c>
      <c r="GG14" s="102">
        <v>0</v>
      </c>
      <c r="GH14" s="102">
        <v>14</v>
      </c>
      <c r="GI14" s="102">
        <v>0</v>
      </c>
      <c r="GJ14" s="102">
        <v>33</v>
      </c>
      <c r="GK14" s="102">
        <v>0</v>
      </c>
      <c r="GL14" s="102">
        <v>10.526315789473685</v>
      </c>
      <c r="GM14" s="102">
        <v>0</v>
      </c>
      <c r="GN14" s="102">
        <v>0</v>
      </c>
      <c r="GO14" s="102">
        <v>37.500000000000007</v>
      </c>
      <c r="GP14" s="102">
        <v>0</v>
      </c>
      <c r="GQ14" s="102">
        <v>0</v>
      </c>
      <c r="GR14" s="102">
        <v>13.157894736842104</v>
      </c>
      <c r="GS14" s="102">
        <v>9.0909090909090917</v>
      </c>
      <c r="GT14" s="102">
        <v>14.285714285714285</v>
      </c>
      <c r="GU14" s="102">
        <v>55.555555555555557</v>
      </c>
      <c r="GV14" s="102">
        <v>0</v>
      </c>
      <c r="GW14" s="102">
        <v>0</v>
      </c>
      <c r="GX14" s="97">
        <v>32.258064516129025</v>
      </c>
      <c r="GY14" s="97">
        <v>0</v>
      </c>
      <c r="GZ14" s="97">
        <v>0</v>
      </c>
      <c r="HA14" s="97">
        <v>14.285714285714283</v>
      </c>
      <c r="HB14">
        <v>20</v>
      </c>
      <c r="HC14" s="97">
        <v>0</v>
      </c>
      <c r="HD14" s="97"/>
      <c r="HE14" s="97"/>
      <c r="HF14" s="97"/>
      <c r="HG14" s="97"/>
      <c r="HH14" s="97"/>
      <c r="HI14" s="97"/>
    </row>
    <row r="15" spans="1:217" x14ac:dyDescent="0.25">
      <c r="A15" s="111" t="s">
        <v>42</v>
      </c>
      <c r="B15" s="32"/>
      <c r="C15" s="32"/>
      <c r="D15" s="33"/>
      <c r="E15" s="33"/>
      <c r="F15" s="33"/>
      <c r="G15" s="33"/>
      <c r="H15" s="32"/>
      <c r="I15" s="32"/>
      <c r="J15" s="33"/>
      <c r="K15" s="33"/>
      <c r="L15" s="33"/>
      <c r="M15" s="33"/>
      <c r="N15" s="32"/>
      <c r="O15" s="32"/>
      <c r="P15" s="33"/>
      <c r="Q15" s="33"/>
      <c r="R15" s="33"/>
      <c r="S15" s="33"/>
      <c r="T15" s="32"/>
      <c r="U15" s="32"/>
      <c r="V15" s="33"/>
      <c r="W15" s="33"/>
      <c r="X15" s="33"/>
      <c r="Y15" s="33"/>
      <c r="Z15" s="32"/>
      <c r="AA15" s="32"/>
      <c r="AB15" s="33"/>
      <c r="AC15" s="33"/>
      <c r="AD15" s="33"/>
      <c r="AE15" s="33"/>
      <c r="AF15" s="32"/>
      <c r="AG15" s="32"/>
      <c r="AH15" s="33"/>
      <c r="AI15" s="33"/>
      <c r="AJ15" s="33"/>
      <c r="AK15" s="33"/>
      <c r="AL15" s="32"/>
      <c r="AM15" s="32"/>
      <c r="AN15" s="33"/>
      <c r="AO15" s="33"/>
      <c r="AP15" s="33"/>
      <c r="AQ15" s="33"/>
      <c r="AR15" s="32"/>
      <c r="AS15" s="32"/>
      <c r="AT15" s="33"/>
      <c r="AU15" s="33"/>
      <c r="AV15" s="33"/>
      <c r="AW15" s="33"/>
      <c r="AX15" s="32"/>
      <c r="AY15" s="32"/>
      <c r="AZ15" s="33"/>
      <c r="BA15" s="33"/>
      <c r="BB15" s="33"/>
      <c r="BC15" s="33"/>
      <c r="BD15" s="32"/>
      <c r="BE15" s="32"/>
      <c r="BF15" s="33"/>
      <c r="BG15" s="33"/>
      <c r="BH15" s="33"/>
      <c r="BI15" s="33"/>
      <c r="BJ15" s="32"/>
      <c r="BK15" s="32"/>
      <c r="BL15" s="33"/>
      <c r="BM15" s="33"/>
      <c r="BN15" s="33"/>
      <c r="BO15" s="33"/>
      <c r="BP15" s="32"/>
      <c r="BQ15" s="32"/>
      <c r="BR15" s="33"/>
      <c r="BS15" s="33"/>
      <c r="BT15" s="33"/>
      <c r="BU15" s="33"/>
      <c r="BV15" s="32"/>
      <c r="BW15" s="32"/>
      <c r="BX15" s="33"/>
      <c r="BY15" s="33"/>
      <c r="BZ15" s="33"/>
      <c r="CA15" s="33"/>
      <c r="CB15" s="32"/>
      <c r="CC15" s="32"/>
      <c r="CD15" s="33"/>
      <c r="CE15" s="33"/>
      <c r="CF15" s="33"/>
      <c r="CG15" s="33"/>
      <c r="CH15" s="32"/>
      <c r="CI15" s="32"/>
      <c r="CJ15" s="33"/>
      <c r="CK15" s="33"/>
      <c r="CL15" s="33"/>
      <c r="CM15" s="33"/>
      <c r="CN15" s="32"/>
      <c r="CO15" s="32"/>
      <c r="CP15" s="33"/>
      <c r="CQ15" s="33"/>
      <c r="CR15" s="33"/>
      <c r="CS15" s="33"/>
      <c r="CT15" s="32"/>
      <c r="CU15" s="32"/>
      <c r="CV15" s="33"/>
      <c r="CW15" s="33"/>
      <c r="CX15" s="33"/>
      <c r="CY15" s="33"/>
      <c r="CZ15" s="32"/>
      <c r="DA15" s="32"/>
      <c r="DB15" s="33"/>
      <c r="DC15" s="33"/>
      <c r="DD15" s="33"/>
      <c r="DE15" s="33"/>
      <c r="DF15" s="32"/>
      <c r="DG15" s="32"/>
      <c r="DH15" s="33"/>
      <c r="DI15" s="33"/>
      <c r="DJ15" s="33"/>
      <c r="DK15" s="33"/>
      <c r="DL15" s="32">
        <v>49.789171867093941</v>
      </c>
      <c r="DM15" s="32">
        <v>50.739644970414211</v>
      </c>
      <c r="DN15" s="33">
        <v>0</v>
      </c>
      <c r="DO15" s="33">
        <v>74.691358024691368</v>
      </c>
      <c r="DP15" s="33">
        <v>33.706385780118495</v>
      </c>
      <c r="DQ15" s="33" t="s">
        <v>38</v>
      </c>
      <c r="DR15" s="86">
        <v>53.834317803496866</v>
      </c>
      <c r="DS15" s="86">
        <v>63.15789473684211</v>
      </c>
      <c r="DT15" s="86">
        <v>5</v>
      </c>
      <c r="DU15" s="86">
        <v>7.03125</v>
      </c>
      <c r="DV15" s="86">
        <v>28.125</v>
      </c>
      <c r="DW15" s="86">
        <v>0</v>
      </c>
      <c r="DX15" s="102">
        <v>49.321266968325794</v>
      </c>
      <c r="DY15" s="102">
        <v>51.851851851851862</v>
      </c>
      <c r="DZ15" s="102">
        <v>5</v>
      </c>
      <c r="EA15" s="102">
        <v>0</v>
      </c>
      <c r="EB15" s="102">
        <v>43.75</v>
      </c>
      <c r="EC15" s="102">
        <v>0</v>
      </c>
      <c r="ED15" s="102">
        <v>37.558685446009385</v>
      </c>
      <c r="EE15" s="102">
        <v>38.888888888888893</v>
      </c>
      <c r="EF15" s="102">
        <v>20</v>
      </c>
      <c r="EG15" s="102">
        <v>0</v>
      </c>
      <c r="EH15" s="102">
        <v>40.625</v>
      </c>
      <c r="EI15" s="102">
        <v>6.666666666666667</v>
      </c>
      <c r="EJ15" s="102">
        <v>40.654205607476626</v>
      </c>
      <c r="EK15" s="102">
        <v>25.925925925925931</v>
      </c>
      <c r="EL15" s="102">
        <v>22.222222222222221</v>
      </c>
      <c r="EM15" s="102">
        <v>0</v>
      </c>
      <c r="EN15" s="102">
        <v>43.75</v>
      </c>
      <c r="EO15" s="102">
        <v>6.557377049180328</v>
      </c>
      <c r="EP15" s="102">
        <v>36.936936936936931</v>
      </c>
      <c r="EQ15" s="102">
        <v>42.592592592592595</v>
      </c>
      <c r="ER15" s="102">
        <v>12.5</v>
      </c>
      <c r="ES15" s="102">
        <v>47.916666666666671</v>
      </c>
      <c r="ET15" s="102">
        <v>15.625</v>
      </c>
      <c r="EU15" s="102">
        <v>3.3898305084745801</v>
      </c>
      <c r="EV15" s="102">
        <v>51</v>
      </c>
      <c r="EW15" s="102">
        <v>54</v>
      </c>
      <c r="EX15" s="102">
        <v>0</v>
      </c>
      <c r="EY15" s="102">
        <v>64</v>
      </c>
      <c r="EZ15" s="102">
        <v>25</v>
      </c>
      <c r="FA15" s="102">
        <v>0</v>
      </c>
      <c r="FB15" s="102">
        <v>57.26495726495726</v>
      </c>
      <c r="FC15" s="102">
        <v>55.357142857142847</v>
      </c>
      <c r="FD15" s="102">
        <v>16.129032258064516</v>
      </c>
      <c r="FE15" s="102">
        <v>70.8333333333333</v>
      </c>
      <c r="FF15" s="102">
        <v>52</v>
      </c>
      <c r="FG15" s="102">
        <v>0</v>
      </c>
      <c r="FH15" s="102">
        <v>51.054852320675103</v>
      </c>
      <c r="FI15" s="102">
        <v>32.727272727272734</v>
      </c>
      <c r="FJ15" s="102">
        <v>42.5</v>
      </c>
      <c r="FK15" s="102">
        <v>8.3333333333333321</v>
      </c>
      <c r="FL15" s="102">
        <v>81.25</v>
      </c>
      <c r="FM15" s="102">
        <v>10.9375</v>
      </c>
      <c r="FN15" s="102">
        <v>60.169491525423723</v>
      </c>
      <c r="FO15" s="102">
        <v>50.909090909090914</v>
      </c>
      <c r="FP15" s="102">
        <v>46.153846153846153</v>
      </c>
      <c r="FQ15" s="102">
        <v>0</v>
      </c>
      <c r="FR15" s="102">
        <v>86.666666666666671</v>
      </c>
      <c r="FS15" s="102">
        <v>25.396825396825395</v>
      </c>
      <c r="FT15" s="102">
        <v>47.029702970297016</v>
      </c>
      <c r="FU15" s="102">
        <v>26.415094339622648</v>
      </c>
      <c r="FV15" s="102">
        <v>40</v>
      </c>
      <c r="FW15" s="102">
        <v>0</v>
      </c>
      <c r="FX15" s="102">
        <v>65.517241379310349</v>
      </c>
      <c r="FY15" s="102">
        <v>23.52941176470588</v>
      </c>
      <c r="FZ15" s="102">
        <v>19</v>
      </c>
      <c r="GA15" s="102">
        <v>9</v>
      </c>
      <c r="GB15" s="102">
        <v>13</v>
      </c>
      <c r="GC15" s="102">
        <v>0</v>
      </c>
      <c r="GD15" s="102">
        <v>20</v>
      </c>
      <c r="GE15" s="102">
        <v>0</v>
      </c>
      <c r="GF15" s="102">
        <v>21</v>
      </c>
      <c r="GG15" s="102">
        <v>0</v>
      </c>
      <c r="GH15" s="102">
        <v>29</v>
      </c>
      <c r="GI15" s="102">
        <v>0</v>
      </c>
      <c r="GJ15" s="102">
        <v>67</v>
      </c>
      <c r="GK15" s="102">
        <v>21</v>
      </c>
      <c r="GL15" s="102">
        <v>18.421052631578949</v>
      </c>
      <c r="GM15" s="102">
        <v>0</v>
      </c>
      <c r="GN15" s="102">
        <v>22.222222222222221</v>
      </c>
      <c r="GO15" s="102">
        <v>0</v>
      </c>
      <c r="GP15" s="102">
        <v>28.571428571428569</v>
      </c>
      <c r="GQ15" s="102">
        <v>16.666666666666664</v>
      </c>
      <c r="GR15" s="102">
        <v>23.684210526315791</v>
      </c>
      <c r="GS15" s="102">
        <v>9.0909090909090917</v>
      </c>
      <c r="GT15" s="102">
        <v>28.571428571428569</v>
      </c>
      <c r="GU15" s="102">
        <v>0</v>
      </c>
      <c r="GV15" s="102">
        <v>100</v>
      </c>
      <c r="GW15" s="102">
        <v>0</v>
      </c>
      <c r="GX15" s="97">
        <v>41.935483870967737</v>
      </c>
      <c r="GY15" s="97">
        <v>10</v>
      </c>
      <c r="GZ15" s="97">
        <v>42.857142857142854</v>
      </c>
      <c r="HA15" s="97">
        <v>0</v>
      </c>
      <c r="HB15">
        <v>20</v>
      </c>
      <c r="HC15" s="97">
        <v>0</v>
      </c>
      <c r="HD15" s="97"/>
      <c r="HE15" s="97"/>
      <c r="HF15" s="97"/>
      <c r="HG15" s="97"/>
      <c r="HH15" s="97"/>
      <c r="HI15" s="97"/>
    </row>
    <row r="16" spans="1:217" x14ac:dyDescent="0.25">
      <c r="A16" s="20" t="s">
        <v>233</v>
      </c>
      <c r="B16" s="32"/>
      <c r="C16" s="32"/>
      <c r="D16" s="33"/>
      <c r="E16" s="33"/>
      <c r="F16" s="33"/>
      <c r="G16" s="33"/>
      <c r="H16" s="32"/>
      <c r="I16" s="32"/>
      <c r="J16" s="33"/>
      <c r="K16" s="33"/>
      <c r="L16" s="33"/>
      <c r="M16" s="33"/>
      <c r="N16" s="32"/>
      <c r="O16" s="32"/>
      <c r="P16" s="33"/>
      <c r="Q16" s="33"/>
      <c r="R16" s="33"/>
      <c r="S16" s="33"/>
      <c r="T16" s="32"/>
      <c r="U16" s="32"/>
      <c r="V16" s="33"/>
      <c r="W16" s="33"/>
      <c r="X16" s="33"/>
      <c r="Y16" s="33"/>
      <c r="Z16" s="32"/>
      <c r="AA16" s="32"/>
      <c r="AB16" s="33"/>
      <c r="AC16" s="33"/>
      <c r="AD16" s="33"/>
      <c r="AE16" s="33"/>
      <c r="AF16" s="32"/>
      <c r="AG16" s="32"/>
      <c r="AH16" s="33"/>
      <c r="AI16" s="33"/>
      <c r="AJ16" s="33"/>
      <c r="AK16" s="33"/>
      <c r="AL16" s="32"/>
      <c r="AM16" s="32"/>
      <c r="AN16" s="33"/>
      <c r="AO16" s="33"/>
      <c r="AP16" s="33"/>
      <c r="AQ16" s="33"/>
      <c r="AR16" s="32"/>
      <c r="AS16" s="32"/>
      <c r="AT16" s="33"/>
      <c r="AU16" s="33"/>
      <c r="AV16" s="33"/>
      <c r="AW16" s="33"/>
      <c r="AX16" s="32"/>
      <c r="AY16" s="32"/>
      <c r="AZ16" s="33"/>
      <c r="BA16" s="33"/>
      <c r="BB16" s="33"/>
      <c r="BC16" s="33"/>
      <c r="BD16" s="32"/>
      <c r="BE16" s="32"/>
      <c r="BF16" s="33"/>
      <c r="BG16" s="33"/>
      <c r="BH16" s="33"/>
      <c r="BI16" s="33"/>
      <c r="BJ16" s="32"/>
      <c r="BK16" s="32"/>
      <c r="BL16" s="33"/>
      <c r="BM16" s="33"/>
      <c r="BN16" s="33"/>
      <c r="BO16" s="33"/>
      <c r="BP16" s="32"/>
      <c r="BQ16" s="32"/>
      <c r="BR16" s="33"/>
      <c r="BS16" s="33"/>
      <c r="BT16" s="33"/>
      <c r="BU16" s="33"/>
      <c r="BV16" s="32"/>
      <c r="BW16" s="32"/>
      <c r="BX16" s="33"/>
      <c r="BY16" s="33"/>
      <c r="BZ16" s="33"/>
      <c r="CA16" s="33"/>
      <c r="CB16" s="32"/>
      <c r="CC16" s="32"/>
      <c r="CD16" s="33"/>
      <c r="CE16" s="33"/>
      <c r="CF16" s="33"/>
      <c r="CG16" s="33"/>
      <c r="CH16" s="32"/>
      <c r="CI16" s="32"/>
      <c r="CJ16" s="33"/>
      <c r="CK16" s="33"/>
      <c r="CL16" s="33"/>
      <c r="CM16" s="33"/>
      <c r="CN16" s="32"/>
      <c r="CO16" s="32"/>
      <c r="CP16" s="33"/>
      <c r="CQ16" s="33"/>
      <c r="CR16" s="33"/>
      <c r="CS16" s="33"/>
      <c r="CT16" s="32"/>
      <c r="CU16" s="32"/>
      <c r="CV16" s="33"/>
      <c r="CW16" s="33"/>
      <c r="CX16" s="33"/>
      <c r="CY16" s="33"/>
      <c r="CZ16" s="32"/>
      <c r="DA16" s="32"/>
      <c r="DB16" s="33"/>
      <c r="DC16" s="33"/>
      <c r="DD16" s="33"/>
      <c r="DE16" s="33"/>
      <c r="DF16" s="32"/>
      <c r="DG16" s="32"/>
      <c r="DH16" s="33"/>
      <c r="DI16" s="33"/>
      <c r="DJ16" s="33"/>
      <c r="DK16" s="33"/>
      <c r="DL16" s="32">
        <v>37.462844948378674</v>
      </c>
      <c r="DM16" s="32">
        <v>60.404339250493109</v>
      </c>
      <c r="DN16" s="33">
        <v>0</v>
      </c>
      <c r="DO16" s="33">
        <v>0</v>
      </c>
      <c r="DP16" s="33">
        <v>12.639894667544436</v>
      </c>
      <c r="DQ16" s="33">
        <v>21.818181818181817</v>
      </c>
      <c r="DR16" s="86">
        <v>40.182648401826484</v>
      </c>
      <c r="DS16" s="86">
        <v>77.192982456140342</v>
      </c>
      <c r="DT16" s="86">
        <v>0</v>
      </c>
      <c r="DU16" s="86">
        <v>14.062500000000004</v>
      </c>
      <c r="DV16" s="86">
        <v>0</v>
      </c>
      <c r="DW16" s="86">
        <v>0</v>
      </c>
      <c r="DX16" s="102">
        <v>34.389140271493218</v>
      </c>
      <c r="DY16" s="102">
        <v>61.111111111111128</v>
      </c>
      <c r="DZ16" s="102">
        <v>0</v>
      </c>
      <c r="EA16" s="102">
        <v>8.3333333333333321</v>
      </c>
      <c r="EB16" s="102">
        <v>12.5</v>
      </c>
      <c r="EC16" s="102">
        <v>3.3333333333333335</v>
      </c>
      <c r="ED16" s="102">
        <v>24.413145539906097</v>
      </c>
      <c r="EE16" s="102">
        <v>38.888888888888893</v>
      </c>
      <c r="EF16" s="102">
        <v>0</v>
      </c>
      <c r="EG16" s="102">
        <v>24.390243902439014</v>
      </c>
      <c r="EH16" s="102">
        <v>21.875</v>
      </c>
      <c r="EI16" s="102">
        <v>11.377777777777776</v>
      </c>
      <c r="EJ16" s="102">
        <v>24.766355140186914</v>
      </c>
      <c r="EK16" s="102">
        <v>48.148148148148145</v>
      </c>
      <c r="EL16" s="102">
        <v>0</v>
      </c>
      <c r="EM16" s="102">
        <v>0</v>
      </c>
      <c r="EN16" s="102">
        <v>21.875</v>
      </c>
      <c r="EO16" s="102">
        <v>1.639344262295082</v>
      </c>
      <c r="EP16" s="102">
        <v>38.2882882882883</v>
      </c>
      <c r="EQ16" s="102">
        <v>37.037037037037038</v>
      </c>
      <c r="ER16" s="102">
        <v>22.5</v>
      </c>
      <c r="ES16" s="102">
        <v>35.416666666666671</v>
      </c>
      <c r="ET16" s="102">
        <v>0</v>
      </c>
      <c r="EU16" s="102">
        <v>8.4745762711864394</v>
      </c>
      <c r="EV16" s="102">
        <v>37</v>
      </c>
      <c r="EW16" s="102">
        <v>41</v>
      </c>
      <c r="EX16" s="102">
        <v>0</v>
      </c>
      <c r="EY16" s="102">
        <v>31</v>
      </c>
      <c r="EZ16" s="102">
        <v>0</v>
      </c>
      <c r="FA16" s="102">
        <v>0</v>
      </c>
      <c r="FB16" s="102">
        <v>23.076923076923077</v>
      </c>
      <c r="FC16" s="102">
        <v>30.357142857142854</v>
      </c>
      <c r="FD16" s="102">
        <v>0</v>
      </c>
      <c r="FE16" s="102">
        <v>39.583333333333329</v>
      </c>
      <c r="FF16" s="102">
        <v>0</v>
      </c>
      <c r="FG16" s="102">
        <v>0</v>
      </c>
      <c r="FH16" s="102">
        <v>23.206751054852319</v>
      </c>
      <c r="FI16" s="102">
        <v>25.454545454545457</v>
      </c>
      <c r="FJ16" s="102">
        <v>0</v>
      </c>
      <c r="FK16" s="102">
        <v>14.583333333333334</v>
      </c>
      <c r="FL16" s="102">
        <v>21.875</v>
      </c>
      <c r="FM16" s="102">
        <v>0</v>
      </c>
      <c r="FN16" s="102">
        <v>19.915254237288135</v>
      </c>
      <c r="FO16" s="102">
        <v>20.000000000000004</v>
      </c>
      <c r="FP16" s="102">
        <v>0</v>
      </c>
      <c r="FQ16" s="102">
        <v>0</v>
      </c>
      <c r="FR16" s="102">
        <v>16.666666666666664</v>
      </c>
      <c r="FS16" s="102">
        <v>22.222222222222221</v>
      </c>
      <c r="FT16" s="102">
        <v>25.742574257425737</v>
      </c>
      <c r="FU16" s="102">
        <v>16.981132075471699</v>
      </c>
      <c r="FV16" s="102">
        <v>0</v>
      </c>
      <c r="FW16" s="102">
        <v>9.9999999999999964</v>
      </c>
      <c r="FX16" s="102">
        <v>44.827586206896555</v>
      </c>
      <c r="FY16" s="102">
        <v>33.333333333333329</v>
      </c>
      <c r="FZ16" s="102">
        <v>3</v>
      </c>
      <c r="GA16" s="102">
        <v>0</v>
      </c>
      <c r="GB16" s="102">
        <v>0</v>
      </c>
      <c r="GC16" s="102">
        <v>0</v>
      </c>
      <c r="GD16" s="102">
        <v>0</v>
      </c>
      <c r="GE16" s="102">
        <v>0</v>
      </c>
      <c r="GF16" s="102">
        <v>3</v>
      </c>
      <c r="GG16" s="102">
        <v>0</v>
      </c>
      <c r="GH16" s="102">
        <v>0</v>
      </c>
      <c r="GI16" s="102">
        <v>0</v>
      </c>
      <c r="GJ16" s="102">
        <v>0</v>
      </c>
      <c r="GK16" s="102">
        <v>0</v>
      </c>
      <c r="GL16" s="102">
        <v>7.8947368421052637</v>
      </c>
      <c r="GM16" s="102">
        <v>0</v>
      </c>
      <c r="GN16" s="102">
        <v>0</v>
      </c>
      <c r="GO16" s="102">
        <v>0</v>
      </c>
      <c r="GP16" s="102">
        <v>0</v>
      </c>
      <c r="GQ16" s="102">
        <v>0</v>
      </c>
      <c r="GR16" s="102">
        <v>21.05263157894737</v>
      </c>
      <c r="GS16" s="102">
        <v>0</v>
      </c>
      <c r="GT16" s="102">
        <v>0</v>
      </c>
      <c r="GU16" s="102">
        <v>0</v>
      </c>
      <c r="GV16" s="102">
        <v>0</v>
      </c>
      <c r="GW16" s="102">
        <v>0</v>
      </c>
      <c r="GX16" s="97">
        <v>35.483870967741929</v>
      </c>
      <c r="GY16" s="97">
        <v>0</v>
      </c>
      <c r="GZ16" s="97">
        <v>0</v>
      </c>
      <c r="HA16" s="119">
        <v>0</v>
      </c>
      <c r="HB16">
        <v>0</v>
      </c>
      <c r="HC16" s="97">
        <v>0</v>
      </c>
      <c r="HD16" s="97"/>
      <c r="HE16" s="97"/>
      <c r="HF16" s="97"/>
      <c r="HG16" s="97"/>
      <c r="HH16" s="97"/>
      <c r="HI16" s="97"/>
    </row>
    <row r="17" spans="1:217" x14ac:dyDescent="0.25">
      <c r="A17" s="17" t="s">
        <v>234</v>
      </c>
      <c r="B17" s="32"/>
      <c r="C17" s="32"/>
      <c r="D17" s="33"/>
      <c r="E17" s="33"/>
      <c r="F17" s="33"/>
      <c r="G17" s="33"/>
      <c r="H17" s="32"/>
      <c r="I17" s="32"/>
      <c r="J17" s="33"/>
      <c r="K17" s="33"/>
      <c r="L17" s="33"/>
      <c r="M17" s="33"/>
      <c r="N17" s="32"/>
      <c r="O17" s="32"/>
      <c r="P17" s="33"/>
      <c r="Q17" s="33"/>
      <c r="R17" s="33"/>
      <c r="S17" s="33"/>
      <c r="T17" s="32"/>
      <c r="U17" s="32"/>
      <c r="V17" s="33"/>
      <c r="W17" s="33"/>
      <c r="X17" s="33"/>
      <c r="Y17" s="33"/>
      <c r="Z17" s="32"/>
      <c r="AA17" s="32"/>
      <c r="AB17" s="33"/>
      <c r="AC17" s="33"/>
      <c r="AD17" s="33"/>
      <c r="AE17" s="33"/>
      <c r="AF17" s="32"/>
      <c r="AG17" s="32"/>
      <c r="AH17" s="33"/>
      <c r="AI17" s="33"/>
      <c r="AJ17" s="33"/>
      <c r="AK17" s="33"/>
      <c r="AL17" s="32"/>
      <c r="AM17" s="32"/>
      <c r="AN17" s="33"/>
      <c r="AO17" s="33"/>
      <c r="AP17" s="33"/>
      <c r="AQ17" s="33"/>
      <c r="AR17" s="32"/>
      <c r="AS17" s="32"/>
      <c r="AT17" s="33"/>
      <c r="AU17" s="33"/>
      <c r="AV17" s="33"/>
      <c r="AW17" s="33"/>
      <c r="AX17" s="32"/>
      <c r="AY17" s="32"/>
      <c r="AZ17" s="33"/>
      <c r="BA17" s="33"/>
      <c r="BB17" s="33"/>
      <c r="BC17" s="33"/>
      <c r="BD17" s="32"/>
      <c r="BE17" s="32"/>
      <c r="BF17" s="33"/>
      <c r="BG17" s="33"/>
      <c r="BH17" s="33"/>
      <c r="BI17" s="33"/>
      <c r="BJ17" s="32"/>
      <c r="BK17" s="32"/>
      <c r="BL17" s="33"/>
      <c r="BM17" s="33"/>
      <c r="BN17" s="33"/>
      <c r="BO17" s="33"/>
      <c r="BP17" s="32"/>
      <c r="BQ17" s="32"/>
      <c r="BR17" s="33"/>
      <c r="BS17" s="33"/>
      <c r="BT17" s="33"/>
      <c r="BU17" s="33"/>
      <c r="BV17" s="32"/>
      <c r="BW17" s="32"/>
      <c r="BX17" s="33"/>
      <c r="BY17" s="33"/>
      <c r="BZ17" s="33"/>
      <c r="CA17" s="33"/>
      <c r="CB17" s="32"/>
      <c r="CC17" s="32"/>
      <c r="CD17" s="33"/>
      <c r="CE17" s="33"/>
      <c r="CF17" s="33"/>
      <c r="CG17" s="33"/>
      <c r="CH17" s="32"/>
      <c r="CI17" s="32"/>
      <c r="CJ17" s="33"/>
      <c r="CK17" s="33"/>
      <c r="CL17" s="33"/>
      <c r="CM17" s="33"/>
      <c r="CN17" s="32"/>
      <c r="CO17" s="32"/>
      <c r="CP17" s="33"/>
      <c r="CQ17" s="33"/>
      <c r="CR17" s="33"/>
      <c r="CS17" s="33"/>
      <c r="CT17" s="32"/>
      <c r="CU17" s="32"/>
      <c r="CV17" s="33"/>
      <c r="CW17" s="33"/>
      <c r="CX17" s="33"/>
      <c r="CY17" s="33"/>
      <c r="CZ17" s="32"/>
      <c r="DA17" s="32"/>
      <c r="DB17" s="33"/>
      <c r="DC17" s="33"/>
      <c r="DD17" s="33"/>
      <c r="DE17" s="33"/>
      <c r="DF17" s="32"/>
      <c r="DG17" s="32"/>
      <c r="DH17" s="33"/>
      <c r="DI17" s="33"/>
      <c r="DJ17" s="33"/>
      <c r="DK17" s="33"/>
      <c r="DL17" s="32">
        <v>27.965222285409425</v>
      </c>
      <c r="DM17" s="32">
        <v>77.083333333333343</v>
      </c>
      <c r="DN17" s="33">
        <v>0</v>
      </c>
      <c r="DO17" s="33">
        <v>56.018518518518526</v>
      </c>
      <c r="DP17" s="33">
        <v>37.919684002633311</v>
      </c>
      <c r="DQ17" s="33">
        <v>12.727272727272727</v>
      </c>
      <c r="DR17" s="86">
        <v>29.680365296803657</v>
      </c>
      <c r="DS17" s="86">
        <v>63.157894736842124</v>
      </c>
      <c r="DT17" s="86">
        <v>0</v>
      </c>
      <c r="DU17" s="86">
        <v>0</v>
      </c>
      <c r="DV17" s="86">
        <v>0</v>
      </c>
      <c r="DW17" s="86">
        <v>0</v>
      </c>
      <c r="DX17" s="102">
        <v>45.701357466063357</v>
      </c>
      <c r="DY17" s="102">
        <v>60.493827160493844</v>
      </c>
      <c r="DZ17" s="102">
        <v>27.500000000000004</v>
      </c>
      <c r="EA17" s="102">
        <v>33.333333333333336</v>
      </c>
      <c r="EB17" s="102">
        <v>9.375</v>
      </c>
      <c r="EC17" s="102">
        <v>60</v>
      </c>
      <c r="ED17" s="102">
        <v>37.386051442235704</v>
      </c>
      <c r="EE17" s="102">
        <v>46.296296296296305</v>
      </c>
      <c r="EF17" s="102">
        <v>42.5</v>
      </c>
      <c r="EG17" s="102">
        <v>39.024390243902431</v>
      </c>
      <c r="EH17" s="102">
        <v>21.875</v>
      </c>
      <c r="EI17" s="102">
        <v>71.666666666666671</v>
      </c>
      <c r="EJ17" s="102">
        <v>47.196261682242984</v>
      </c>
      <c r="EK17" s="102">
        <v>42.592592592592595</v>
      </c>
      <c r="EL17" s="102">
        <v>13.888888888888889</v>
      </c>
      <c r="EM17" s="102">
        <v>67.391304347826079</v>
      </c>
      <c r="EN17" s="102">
        <v>28.125</v>
      </c>
      <c r="EO17" s="102">
        <v>60.655737704918032</v>
      </c>
      <c r="EP17" s="102">
        <v>50.450450450450447</v>
      </c>
      <c r="EQ17" s="102">
        <v>42.592592592592595</v>
      </c>
      <c r="ER17" s="102">
        <v>50</v>
      </c>
      <c r="ES17" s="102">
        <v>52.083333333333329</v>
      </c>
      <c r="ET17" s="102">
        <v>65.625</v>
      </c>
      <c r="EU17" s="102">
        <v>11.864406779661017</v>
      </c>
      <c r="EV17" s="102">
        <v>71</v>
      </c>
      <c r="EW17" s="102">
        <v>46</v>
      </c>
      <c r="EX17" s="102">
        <v>33</v>
      </c>
      <c r="EY17" s="102">
        <v>29</v>
      </c>
      <c r="EZ17" s="102">
        <v>69</v>
      </c>
      <c r="FA17" s="102">
        <v>94</v>
      </c>
      <c r="FB17" s="102">
        <v>45.299145299145302</v>
      </c>
      <c r="FC17" s="102">
        <v>53.571428571428569</v>
      </c>
      <c r="FD17" s="102">
        <v>9.67741935483871</v>
      </c>
      <c r="FE17" s="102">
        <v>47.916666666666664</v>
      </c>
      <c r="FF17" s="102">
        <v>12</v>
      </c>
      <c r="FG17" s="102">
        <v>53.968253968253968</v>
      </c>
      <c r="FH17" s="102">
        <v>52.320675105485236</v>
      </c>
      <c r="FI17" s="102">
        <v>69.090909090909108</v>
      </c>
      <c r="FJ17" s="102">
        <v>67.5</v>
      </c>
      <c r="FK17" s="102">
        <v>31.249999999999993</v>
      </c>
      <c r="FL17" s="102">
        <v>56.25</v>
      </c>
      <c r="FM17" s="102">
        <v>40.625</v>
      </c>
      <c r="FN17" s="102">
        <v>53.389830508474581</v>
      </c>
      <c r="FO17" s="102">
        <v>81.818181818181841</v>
      </c>
      <c r="FP17" s="102">
        <v>38.461538461538467</v>
      </c>
      <c r="FQ17" s="102">
        <v>8.3333333333333321</v>
      </c>
      <c r="FR17" s="102">
        <v>46.666666666666664</v>
      </c>
      <c r="FS17" s="102">
        <v>60.317460317460316</v>
      </c>
      <c r="FT17" s="102">
        <v>50</v>
      </c>
      <c r="FU17" s="102">
        <v>30.188679245283023</v>
      </c>
      <c r="FV17" s="102">
        <v>51.428571428571423</v>
      </c>
      <c r="FW17" s="102">
        <v>39.999999999999986</v>
      </c>
      <c r="FX17" s="102">
        <v>72.41379310344827</v>
      </c>
      <c r="FY17" s="102">
        <v>100</v>
      </c>
      <c r="FZ17" s="102">
        <v>25</v>
      </c>
      <c r="GA17" s="102">
        <v>27</v>
      </c>
      <c r="GB17" s="102">
        <v>13</v>
      </c>
      <c r="GC17" s="102">
        <v>67</v>
      </c>
      <c r="GD17" s="102">
        <v>0</v>
      </c>
      <c r="GE17" s="102">
        <v>50</v>
      </c>
      <c r="GF17" s="102">
        <v>0</v>
      </c>
      <c r="GG17" s="102">
        <v>0</v>
      </c>
      <c r="GH17" s="102">
        <v>0</v>
      </c>
      <c r="GI17" s="102">
        <v>0</v>
      </c>
      <c r="GJ17" s="102">
        <v>0</v>
      </c>
      <c r="GK17" s="102">
        <v>0</v>
      </c>
      <c r="GL17" s="102">
        <v>2.6315789473684212</v>
      </c>
      <c r="GM17" s="102">
        <v>0</v>
      </c>
      <c r="GN17" s="102">
        <v>0</v>
      </c>
      <c r="GO17" s="102">
        <v>0</v>
      </c>
      <c r="GP17" s="102">
        <v>0</v>
      </c>
      <c r="GQ17" s="102">
        <v>8.3333333333333321</v>
      </c>
      <c r="GR17" s="102">
        <v>0</v>
      </c>
      <c r="GS17" s="102">
        <v>0</v>
      </c>
      <c r="GT17" s="102">
        <v>0</v>
      </c>
      <c r="GU17" s="102">
        <v>0</v>
      </c>
      <c r="GV17" s="102">
        <v>0</v>
      </c>
      <c r="GW17" s="102">
        <v>0</v>
      </c>
      <c r="GX17" s="97">
        <v>6.4516129032258061</v>
      </c>
      <c r="GY17" s="97">
        <v>0</v>
      </c>
      <c r="GZ17" s="97">
        <v>0</v>
      </c>
      <c r="HA17" s="97">
        <v>0</v>
      </c>
      <c r="HB17">
        <v>0</v>
      </c>
      <c r="HC17" s="97">
        <v>0</v>
      </c>
      <c r="HD17" s="97"/>
      <c r="HE17" s="97"/>
      <c r="HF17" s="97"/>
      <c r="HG17" s="97"/>
      <c r="HH17" s="97"/>
      <c r="HI17" s="97"/>
    </row>
    <row r="18" spans="1:217" x14ac:dyDescent="0.25">
      <c r="A18" s="111" t="s">
        <v>39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>
        <v>23.2164109539248</v>
      </c>
      <c r="DM18" s="33">
        <v>39.583333333333336</v>
      </c>
      <c r="DN18" s="33">
        <v>0</v>
      </c>
      <c r="DO18" s="33">
        <v>4.6682098765432096</v>
      </c>
      <c r="DP18" s="33">
        <v>12.639894667544436</v>
      </c>
      <c r="DQ18" s="33">
        <v>0</v>
      </c>
      <c r="DR18" s="86">
        <v>19.178082191780824</v>
      </c>
      <c r="DS18" s="86">
        <v>54.385964912280706</v>
      </c>
      <c r="DT18" s="86">
        <v>0</v>
      </c>
      <c r="DU18" s="86">
        <v>0</v>
      </c>
      <c r="DV18" s="86">
        <v>31.25</v>
      </c>
      <c r="DW18" s="86">
        <v>0</v>
      </c>
      <c r="DX18" s="102">
        <v>16.289592760180994</v>
      </c>
      <c r="DY18" s="102">
        <v>45.101906640368192</v>
      </c>
      <c r="DZ18" s="102">
        <v>0</v>
      </c>
      <c r="EA18" s="102">
        <v>8.3333333333333321</v>
      </c>
      <c r="EB18" s="102">
        <v>12.5</v>
      </c>
      <c r="EC18" s="102">
        <v>0</v>
      </c>
      <c r="ED18" s="102">
        <v>17.37089201877934</v>
      </c>
      <c r="EE18" s="102">
        <v>27.777777777777779</v>
      </c>
      <c r="EF18" s="102">
        <v>0</v>
      </c>
      <c r="EG18" s="102">
        <v>4.8780487804878039</v>
      </c>
      <c r="EH18" s="102">
        <v>12.5</v>
      </c>
      <c r="EI18" s="102">
        <v>0</v>
      </c>
      <c r="EJ18" s="102">
        <v>15.887850467289718</v>
      </c>
      <c r="EK18" s="102">
        <v>24.074074074074076</v>
      </c>
      <c r="EL18" s="102">
        <v>0</v>
      </c>
      <c r="EM18" s="102">
        <v>8.6956521739130412</v>
      </c>
      <c r="EN18" s="102">
        <v>18.75</v>
      </c>
      <c r="EO18" s="102">
        <v>0</v>
      </c>
      <c r="EP18" s="102">
        <v>22.072072072072071</v>
      </c>
      <c r="EQ18" s="102">
        <v>20.370370370370374</v>
      </c>
      <c r="ER18" s="102">
        <v>12.5</v>
      </c>
      <c r="ES18" s="102">
        <v>20.833333333333336</v>
      </c>
      <c r="ET18" s="102">
        <v>18.75</v>
      </c>
      <c r="EU18" s="102">
        <v>3.3898305084745761</v>
      </c>
      <c r="EV18" s="102">
        <v>25</v>
      </c>
      <c r="EW18" s="102">
        <v>20</v>
      </c>
      <c r="EX18" s="102">
        <v>0</v>
      </c>
      <c r="EY18" s="102">
        <v>20</v>
      </c>
      <c r="EZ18" s="102">
        <v>18.75</v>
      </c>
      <c r="FA18" s="102">
        <v>0</v>
      </c>
      <c r="FB18" s="102">
        <v>21.367521367521363</v>
      </c>
      <c r="FC18" s="102">
        <v>26.785714285714285</v>
      </c>
      <c r="FD18" s="102">
        <v>0</v>
      </c>
      <c r="FE18" s="102">
        <v>27.083333333333332</v>
      </c>
      <c r="FF18" s="102">
        <v>36</v>
      </c>
      <c r="FG18" s="102">
        <v>3.1746031746031744</v>
      </c>
      <c r="FH18" s="102">
        <v>22.362869198312236</v>
      </c>
      <c r="FI18" s="102">
        <v>5.454545454545455</v>
      </c>
      <c r="FJ18" s="102">
        <v>2.5</v>
      </c>
      <c r="FK18" s="102">
        <v>33.333333333333329</v>
      </c>
      <c r="FL18" s="102">
        <v>59.375</v>
      </c>
      <c r="FM18" s="102">
        <v>12.5</v>
      </c>
      <c r="FN18" s="102">
        <v>21.186440677966107</v>
      </c>
      <c r="FO18" s="102">
        <v>32.727272727272734</v>
      </c>
      <c r="FP18" s="102">
        <v>25.641025641025639</v>
      </c>
      <c r="FQ18" s="102">
        <v>16.666666666666664</v>
      </c>
      <c r="FR18" s="102">
        <v>43.333333333333336</v>
      </c>
      <c r="FS18" s="102">
        <v>17.460317460317459</v>
      </c>
      <c r="FT18" s="102">
        <v>23.267326732673265</v>
      </c>
      <c r="FU18" s="102">
        <v>7.5471698113207557</v>
      </c>
      <c r="FV18" s="102">
        <v>22.857142857142858</v>
      </c>
      <c r="FW18" s="102">
        <v>19.999999999999993</v>
      </c>
      <c r="FX18" s="102">
        <v>65.517241379310349</v>
      </c>
      <c r="FY18" s="102">
        <v>31.372549019607842</v>
      </c>
      <c r="FZ18" s="102">
        <v>0</v>
      </c>
      <c r="GA18" s="102">
        <v>0</v>
      </c>
      <c r="GB18" s="102">
        <v>25</v>
      </c>
      <c r="GC18" s="102">
        <v>17</v>
      </c>
      <c r="GD18" s="102">
        <v>60</v>
      </c>
      <c r="GE18" s="102">
        <v>0</v>
      </c>
      <c r="GF18" s="102">
        <v>21</v>
      </c>
      <c r="GG18" s="102">
        <v>0</v>
      </c>
      <c r="GH18" s="102">
        <v>43</v>
      </c>
      <c r="GI18" s="102">
        <v>0</v>
      </c>
      <c r="GJ18" s="102">
        <v>33</v>
      </c>
      <c r="GK18" s="102">
        <v>0</v>
      </c>
      <c r="GL18" s="102">
        <v>18.421052631578949</v>
      </c>
      <c r="GM18" s="102">
        <v>0</v>
      </c>
      <c r="GN18" s="102">
        <v>0</v>
      </c>
      <c r="GO18" s="102">
        <v>0</v>
      </c>
      <c r="GP18" s="102">
        <v>0</v>
      </c>
      <c r="GQ18" s="102">
        <v>0</v>
      </c>
      <c r="GR18" s="102">
        <v>23.684210526315791</v>
      </c>
      <c r="GS18" s="102">
        <v>0</v>
      </c>
      <c r="GT18" s="102">
        <v>0</v>
      </c>
      <c r="GU18" s="102">
        <v>11.111111111111109</v>
      </c>
      <c r="GV18" s="102">
        <v>75</v>
      </c>
      <c r="GW18" s="102">
        <v>0</v>
      </c>
      <c r="GX18" s="97">
        <v>9.67741935483871</v>
      </c>
      <c r="GY18" s="97">
        <v>0</v>
      </c>
      <c r="GZ18" s="97">
        <v>0</v>
      </c>
      <c r="HA18" s="97">
        <v>14.285714285714283</v>
      </c>
      <c r="HB18">
        <v>60</v>
      </c>
      <c r="HC18" s="97">
        <v>0</v>
      </c>
      <c r="HD18" s="97"/>
      <c r="HE18" s="97"/>
      <c r="HF18" s="97"/>
      <c r="HG18" s="97"/>
      <c r="HH18" s="97"/>
      <c r="HI18" s="97"/>
    </row>
    <row r="19" spans="1:217" x14ac:dyDescent="0.25">
      <c r="A19" s="111" t="s">
        <v>53</v>
      </c>
      <c r="B19" s="32"/>
      <c r="C19" s="32"/>
      <c r="D19" s="33"/>
      <c r="E19" s="33"/>
      <c r="F19" s="33"/>
      <c r="G19" s="33"/>
      <c r="H19" s="32"/>
      <c r="I19" s="32"/>
      <c r="J19" s="33"/>
      <c r="K19" s="33"/>
      <c r="L19" s="33"/>
      <c r="M19" s="33"/>
      <c r="N19" s="32"/>
      <c r="O19" s="32"/>
      <c r="P19" s="33"/>
      <c r="Q19" s="33"/>
      <c r="R19" s="33"/>
      <c r="S19" s="33"/>
      <c r="T19" s="32"/>
      <c r="U19" s="32"/>
      <c r="V19" s="33"/>
      <c r="W19" s="33"/>
      <c r="X19" s="33"/>
      <c r="Y19" s="33"/>
      <c r="Z19" s="32"/>
      <c r="AA19" s="32"/>
      <c r="AB19" s="33"/>
      <c r="AC19" s="33"/>
      <c r="AD19" s="33"/>
      <c r="AE19" s="33"/>
      <c r="AF19" s="32"/>
      <c r="AG19" s="32"/>
      <c r="AH19" s="33"/>
      <c r="AI19" s="33"/>
      <c r="AJ19" s="33"/>
      <c r="AK19" s="33"/>
      <c r="AL19" s="32"/>
      <c r="AM19" s="32"/>
      <c r="AN19" s="33"/>
      <c r="AO19" s="33"/>
      <c r="AP19" s="33"/>
      <c r="AQ19" s="33"/>
      <c r="AR19" s="32"/>
      <c r="AS19" s="32"/>
      <c r="AT19" s="33"/>
      <c r="AU19" s="33"/>
      <c r="AV19" s="33"/>
      <c r="AW19" s="33"/>
      <c r="AX19" s="32"/>
      <c r="AY19" s="32"/>
      <c r="AZ19" s="33"/>
      <c r="BA19" s="33"/>
      <c r="BB19" s="33"/>
      <c r="BC19" s="33"/>
      <c r="BD19" s="32"/>
      <c r="BE19" s="32"/>
      <c r="BF19" s="33"/>
      <c r="BG19" s="33"/>
      <c r="BH19" s="33"/>
      <c r="BI19" s="33"/>
      <c r="BJ19" s="32"/>
      <c r="BK19" s="32"/>
      <c r="BL19" s="33"/>
      <c r="BM19" s="33"/>
      <c r="BN19" s="33"/>
      <c r="BO19" s="33"/>
      <c r="BP19" s="32"/>
      <c r="BQ19" s="32"/>
      <c r="BR19" s="33"/>
      <c r="BS19" s="33"/>
      <c r="BT19" s="33"/>
      <c r="BU19" s="33"/>
      <c r="BV19" s="32"/>
      <c r="BW19" s="32"/>
      <c r="BX19" s="33"/>
      <c r="BY19" s="33"/>
      <c r="BZ19" s="33"/>
      <c r="CA19" s="33"/>
      <c r="CB19" s="32"/>
      <c r="CC19" s="32"/>
      <c r="CD19" s="33"/>
      <c r="CE19" s="33"/>
      <c r="CF19" s="33"/>
      <c r="CG19" s="33"/>
      <c r="CH19" s="32"/>
      <c r="CI19" s="32"/>
      <c r="CJ19" s="33"/>
      <c r="CK19" s="33"/>
      <c r="CL19" s="33"/>
      <c r="CM19" s="33"/>
      <c r="CN19" s="32"/>
      <c r="CO19" s="32"/>
      <c r="CP19" s="33"/>
      <c r="CQ19" s="33"/>
      <c r="CR19" s="33"/>
      <c r="CS19" s="33"/>
      <c r="CT19" s="32"/>
      <c r="CU19" s="32"/>
      <c r="CV19" s="33"/>
      <c r="CW19" s="33"/>
      <c r="CX19" s="33"/>
      <c r="CY19" s="33"/>
      <c r="CZ19" s="32"/>
      <c r="DA19" s="32"/>
      <c r="DB19" s="33"/>
      <c r="DC19" s="33"/>
      <c r="DD19" s="33"/>
      <c r="DE19" s="33"/>
      <c r="DF19" s="32"/>
      <c r="DG19" s="32"/>
      <c r="DH19" s="33"/>
      <c r="DI19" s="33"/>
      <c r="DJ19" s="33"/>
      <c r="DK19" s="33"/>
      <c r="DL19" s="32">
        <v>7.1428571428571441</v>
      </c>
      <c r="DM19" s="32" t="s">
        <v>38</v>
      </c>
      <c r="DN19" s="33">
        <v>10</v>
      </c>
      <c r="DO19" s="33">
        <v>28.009259259259263</v>
      </c>
      <c r="DP19" s="33" t="s">
        <v>38</v>
      </c>
      <c r="DQ19" s="33">
        <v>21.818181818181817</v>
      </c>
      <c r="DR19" s="86">
        <v>12.785388127853883</v>
      </c>
      <c r="DS19" s="86">
        <v>0</v>
      </c>
      <c r="DT19" s="86">
        <v>0</v>
      </c>
      <c r="DU19" s="86">
        <v>28.125000000000007</v>
      </c>
      <c r="DV19" s="86">
        <v>0</v>
      </c>
      <c r="DW19" s="86">
        <v>100</v>
      </c>
      <c r="DX19" s="102">
        <v>7.2398190045248878</v>
      </c>
      <c r="DY19" s="102">
        <v>0</v>
      </c>
      <c r="DZ19" s="102">
        <v>0</v>
      </c>
      <c r="EA19" s="102">
        <v>55.555555555555571</v>
      </c>
      <c r="EB19" s="102">
        <v>0</v>
      </c>
      <c r="EC19" s="102">
        <v>100</v>
      </c>
      <c r="ED19" s="102">
        <v>7.511737089201878</v>
      </c>
      <c r="EE19" s="102">
        <v>0</v>
      </c>
      <c r="EF19" s="102">
        <v>0</v>
      </c>
      <c r="EG19" s="102">
        <v>19.512195121951216</v>
      </c>
      <c r="EH19" s="102">
        <v>12.5</v>
      </c>
      <c r="EI19" s="102">
        <v>51.666666666666671</v>
      </c>
      <c r="EJ19" s="102">
        <v>1.8691588785046731</v>
      </c>
      <c r="EK19" s="102">
        <v>0</v>
      </c>
      <c r="EL19" s="102">
        <v>0</v>
      </c>
      <c r="EM19" s="102">
        <v>0</v>
      </c>
      <c r="EN19" s="102">
        <v>0</v>
      </c>
      <c r="EO19" s="102">
        <v>59.016393442622949</v>
      </c>
      <c r="EP19" s="102">
        <v>1.8018018018018018</v>
      </c>
      <c r="EQ19" s="102">
        <v>0</v>
      </c>
      <c r="ER19" s="102">
        <v>0</v>
      </c>
      <c r="ES19" s="102">
        <v>0</v>
      </c>
      <c r="ET19" s="102">
        <v>0</v>
      </c>
      <c r="EU19" s="102">
        <v>40.677966101694921</v>
      </c>
      <c r="EV19" s="102">
        <v>9</v>
      </c>
      <c r="EW19" s="102">
        <v>0</v>
      </c>
      <c r="EX19" s="102">
        <v>0</v>
      </c>
      <c r="EY19" s="102">
        <v>0</v>
      </c>
      <c r="EZ19" s="102">
        <v>0</v>
      </c>
      <c r="FA19" s="102">
        <v>63</v>
      </c>
      <c r="FB19" s="102">
        <v>11.111111111111111</v>
      </c>
      <c r="FC19" s="102">
        <v>0</v>
      </c>
      <c r="FD19" s="102">
        <v>9.67741935483871</v>
      </c>
      <c r="FE19" s="102">
        <v>0</v>
      </c>
      <c r="FF19" s="102">
        <v>60</v>
      </c>
      <c r="FG19" s="102">
        <v>63.492063492063487</v>
      </c>
      <c r="FH19" s="102">
        <v>6.7510548523206761</v>
      </c>
      <c r="FI19" s="102">
        <v>0</v>
      </c>
      <c r="FJ19" s="102">
        <v>0</v>
      </c>
      <c r="FK19" s="102">
        <v>0</v>
      </c>
      <c r="FL19" s="102">
        <v>12.5</v>
      </c>
      <c r="FM19" s="102">
        <v>25</v>
      </c>
      <c r="FN19" s="102">
        <v>8.4745762711864394</v>
      </c>
      <c r="FO19" s="102">
        <v>0</v>
      </c>
      <c r="FP19" s="102">
        <v>10.256410256410255</v>
      </c>
      <c r="FQ19" s="102">
        <v>25</v>
      </c>
      <c r="FR19" s="102">
        <v>23.333333333333332</v>
      </c>
      <c r="FS19" s="102">
        <v>6.3492063492063489</v>
      </c>
      <c r="FT19" s="102">
        <v>3.9603960396039604</v>
      </c>
      <c r="FU19" s="102">
        <v>0</v>
      </c>
      <c r="FV19" s="102">
        <v>0</v>
      </c>
      <c r="FW19" s="102">
        <v>9.9999999999999964</v>
      </c>
      <c r="FX19" s="102">
        <v>13.793103448275861</v>
      </c>
      <c r="FY19" s="102">
        <v>41.17647058823529</v>
      </c>
      <c r="FZ19" s="102">
        <v>14</v>
      </c>
      <c r="GA19" s="102">
        <v>0</v>
      </c>
      <c r="GB19" s="102">
        <v>13</v>
      </c>
      <c r="GC19" s="102">
        <v>33</v>
      </c>
      <c r="GD19" s="102">
        <v>0</v>
      </c>
      <c r="GE19" s="102">
        <v>25</v>
      </c>
      <c r="GF19" s="102">
        <v>24</v>
      </c>
      <c r="GG19" s="102">
        <v>10</v>
      </c>
      <c r="GH19" s="102">
        <v>0</v>
      </c>
      <c r="GI19" s="102">
        <v>10</v>
      </c>
      <c r="GJ19" s="102">
        <v>0</v>
      </c>
      <c r="GK19" s="102">
        <v>43</v>
      </c>
      <c r="GL19" s="102">
        <v>26.315789473684209</v>
      </c>
      <c r="GM19" s="102">
        <v>18.181818181818183</v>
      </c>
      <c r="GN19" s="102">
        <v>0</v>
      </c>
      <c r="GO19" s="102">
        <v>37.500000000000007</v>
      </c>
      <c r="GP19" s="102">
        <v>0</v>
      </c>
      <c r="GQ19" s="102">
        <v>33.333333333333329</v>
      </c>
      <c r="GR19" s="102">
        <v>15.789473684210527</v>
      </c>
      <c r="GS19" s="102">
        <v>18.181818181818183</v>
      </c>
      <c r="GT19" s="102">
        <v>0</v>
      </c>
      <c r="GU19" s="102">
        <v>11.111111111111109</v>
      </c>
      <c r="GV19" s="102">
        <v>25</v>
      </c>
      <c r="GW19" s="102">
        <v>50</v>
      </c>
      <c r="GX19" s="97">
        <v>25.806451612903224</v>
      </c>
      <c r="GY19" s="97">
        <v>30</v>
      </c>
      <c r="GZ19" s="97">
        <v>0</v>
      </c>
      <c r="HA19" s="97">
        <v>14.285714285714283</v>
      </c>
      <c r="HB19">
        <v>0</v>
      </c>
      <c r="HC19" s="97">
        <v>60</v>
      </c>
      <c r="HD19" s="97"/>
      <c r="HE19" s="97"/>
      <c r="HF19" s="97"/>
      <c r="HG19" s="97"/>
      <c r="HH19" s="97"/>
      <c r="HI19" s="97"/>
    </row>
    <row r="20" spans="1:217" ht="15" customHeight="1" x14ac:dyDescent="0.25">
      <c r="A20" s="110" t="s">
        <v>238</v>
      </c>
      <c r="B20" s="140"/>
      <c r="C20" s="141"/>
      <c r="D20" s="141"/>
      <c r="E20" s="141"/>
      <c r="F20" s="141"/>
      <c r="G20" s="142"/>
      <c r="H20" s="140"/>
      <c r="I20" s="141"/>
      <c r="J20" s="141"/>
      <c r="K20" s="141"/>
      <c r="L20" s="141"/>
      <c r="M20" s="142"/>
      <c r="N20" s="140"/>
      <c r="O20" s="141"/>
      <c r="P20" s="141"/>
      <c r="Q20" s="141"/>
      <c r="R20" s="141"/>
      <c r="S20" s="142"/>
      <c r="T20" s="140"/>
      <c r="U20" s="141"/>
      <c r="V20" s="141"/>
      <c r="W20" s="141"/>
      <c r="X20" s="141"/>
      <c r="Y20" s="142"/>
      <c r="Z20" s="140"/>
      <c r="AA20" s="141"/>
      <c r="AB20" s="141"/>
      <c r="AC20" s="141"/>
      <c r="AD20" s="141"/>
      <c r="AE20" s="142"/>
      <c r="AF20" s="140"/>
      <c r="AG20" s="141"/>
      <c r="AH20" s="141"/>
      <c r="AI20" s="141"/>
      <c r="AJ20" s="141"/>
      <c r="AK20" s="142"/>
      <c r="AL20" s="140"/>
      <c r="AM20" s="141"/>
      <c r="AN20" s="141"/>
      <c r="AO20" s="141"/>
      <c r="AP20" s="141"/>
      <c r="AQ20" s="142"/>
      <c r="AR20" s="140"/>
      <c r="AS20" s="141"/>
      <c r="AT20" s="141"/>
      <c r="AU20" s="141"/>
      <c r="AV20" s="141"/>
      <c r="AW20" s="142"/>
      <c r="AX20" s="140"/>
      <c r="AY20" s="141"/>
      <c r="AZ20" s="141"/>
      <c r="BA20" s="141"/>
      <c r="BB20" s="141"/>
      <c r="BC20" s="142"/>
      <c r="BD20" s="140"/>
      <c r="BE20" s="141"/>
      <c r="BF20" s="141"/>
      <c r="BG20" s="141"/>
      <c r="BH20" s="141"/>
      <c r="BI20" s="142"/>
      <c r="BJ20" s="140"/>
      <c r="BK20" s="141"/>
      <c r="BL20" s="141"/>
      <c r="BM20" s="141"/>
      <c r="BN20" s="141"/>
      <c r="BO20" s="142"/>
      <c r="BP20" s="140"/>
      <c r="BQ20" s="141"/>
      <c r="BR20" s="141"/>
      <c r="BS20" s="141"/>
      <c r="BT20" s="141"/>
      <c r="BU20" s="142"/>
      <c r="BV20" s="140"/>
      <c r="BW20" s="141"/>
      <c r="BX20" s="141"/>
      <c r="BY20" s="141"/>
      <c r="BZ20" s="141"/>
      <c r="CA20" s="142"/>
      <c r="CB20" s="140"/>
      <c r="CC20" s="141"/>
      <c r="CD20" s="141"/>
      <c r="CE20" s="141"/>
      <c r="CF20" s="141"/>
      <c r="CG20" s="142"/>
      <c r="CH20" s="140"/>
      <c r="CI20" s="141"/>
      <c r="CJ20" s="141"/>
      <c r="CK20" s="141"/>
      <c r="CL20" s="141"/>
      <c r="CM20" s="142"/>
      <c r="CN20" s="140"/>
      <c r="CO20" s="141"/>
      <c r="CP20" s="141"/>
      <c r="CQ20" s="141"/>
      <c r="CR20" s="141"/>
      <c r="CS20" s="142"/>
      <c r="CT20" s="140"/>
      <c r="CU20" s="141"/>
      <c r="CV20" s="141"/>
      <c r="CW20" s="141"/>
      <c r="CX20" s="141"/>
      <c r="CY20" s="142"/>
      <c r="CZ20" s="140"/>
      <c r="DA20" s="141"/>
      <c r="DB20" s="141"/>
      <c r="DC20" s="141"/>
      <c r="DD20" s="141"/>
      <c r="DE20" s="142"/>
      <c r="DF20" s="140"/>
      <c r="DG20" s="141"/>
      <c r="DH20" s="141"/>
      <c r="DI20" s="141"/>
      <c r="DJ20" s="141"/>
      <c r="DK20" s="142"/>
      <c r="DL20" s="140"/>
      <c r="DM20" s="141"/>
      <c r="DN20" s="141"/>
      <c r="DO20" s="141"/>
      <c r="DP20" s="141"/>
      <c r="DQ20" s="142"/>
      <c r="DX20" s="96"/>
      <c r="FZ20" s="102">
        <v>22</v>
      </c>
      <c r="GA20" s="102">
        <v>0</v>
      </c>
      <c r="GB20" s="102">
        <v>0</v>
      </c>
      <c r="GC20" s="102">
        <v>33</v>
      </c>
      <c r="GD20" s="102">
        <v>0</v>
      </c>
      <c r="GE20" s="102">
        <v>0</v>
      </c>
      <c r="GF20" s="102">
        <v>24</v>
      </c>
      <c r="GG20" s="102">
        <v>0</v>
      </c>
      <c r="GH20" s="102">
        <v>0</v>
      </c>
      <c r="GI20" s="102">
        <v>0</v>
      </c>
      <c r="GJ20" s="102">
        <v>0</v>
      </c>
      <c r="GK20" s="102">
        <v>0</v>
      </c>
      <c r="GL20" s="102">
        <v>18.421052631578949</v>
      </c>
      <c r="GM20" s="102">
        <v>0</v>
      </c>
      <c r="GN20" s="102">
        <v>0</v>
      </c>
      <c r="GO20" s="102">
        <v>0</v>
      </c>
      <c r="GP20" s="102">
        <v>14.285714285714285</v>
      </c>
      <c r="GQ20" s="102">
        <v>0</v>
      </c>
      <c r="GR20" s="102">
        <v>7.8947368421052637</v>
      </c>
      <c r="GS20" s="102">
        <v>0</v>
      </c>
      <c r="GT20" s="102">
        <v>0</v>
      </c>
      <c r="GU20" s="102">
        <v>11.111111111111109</v>
      </c>
      <c r="GV20" s="102">
        <v>0</v>
      </c>
      <c r="GW20" s="102">
        <v>0</v>
      </c>
      <c r="GX20" s="97">
        <v>32.258064516129025</v>
      </c>
      <c r="GY20" s="97">
        <v>0</v>
      </c>
      <c r="GZ20" s="97">
        <v>14.285714285714285</v>
      </c>
      <c r="HA20" s="97">
        <v>28.571428571428566</v>
      </c>
      <c r="HB20">
        <v>20</v>
      </c>
      <c r="HC20" s="97">
        <v>20</v>
      </c>
      <c r="HD20" s="97"/>
      <c r="HE20" s="97"/>
      <c r="HF20" s="97"/>
      <c r="HG20" s="97"/>
      <c r="HH20" s="97"/>
      <c r="HI20" s="97"/>
    </row>
    <row r="21" spans="1:217" x14ac:dyDescent="0.25">
      <c r="A21" s="110" t="s">
        <v>235</v>
      </c>
      <c r="FZ21" s="102">
        <v>6</v>
      </c>
      <c r="GA21" s="102">
        <v>0</v>
      </c>
      <c r="GB21" s="102">
        <v>0</v>
      </c>
      <c r="GC21" s="102">
        <v>0</v>
      </c>
      <c r="GD21" s="102">
        <v>0</v>
      </c>
      <c r="GE21" s="102">
        <v>0</v>
      </c>
      <c r="GF21" s="102">
        <v>0</v>
      </c>
      <c r="GG21" s="102">
        <v>0</v>
      </c>
      <c r="GH21" s="102">
        <v>0</v>
      </c>
      <c r="GI21" s="102">
        <v>0</v>
      </c>
      <c r="GJ21" s="102">
        <v>0</v>
      </c>
      <c r="GK21" s="102">
        <v>0</v>
      </c>
      <c r="GL21" s="102">
        <v>0</v>
      </c>
      <c r="GM21" s="102">
        <v>0</v>
      </c>
      <c r="GN21" s="102">
        <v>0</v>
      </c>
      <c r="GO21" s="102">
        <v>0</v>
      </c>
      <c r="GP21" s="102">
        <v>0</v>
      </c>
      <c r="GQ21" s="102">
        <v>8.3333333333333321</v>
      </c>
      <c r="GR21" s="102">
        <v>0</v>
      </c>
      <c r="GS21" s="102">
        <v>0</v>
      </c>
      <c r="GT21" s="102">
        <v>0</v>
      </c>
      <c r="GU21" s="102">
        <v>0</v>
      </c>
      <c r="GV21" s="102">
        <v>0</v>
      </c>
      <c r="GW21" s="102">
        <v>0</v>
      </c>
      <c r="GX21" s="119">
        <v>0</v>
      </c>
      <c r="GY21" s="97">
        <v>0</v>
      </c>
      <c r="GZ21" s="97">
        <v>0</v>
      </c>
      <c r="HA21" s="97">
        <v>0</v>
      </c>
      <c r="HB21">
        <v>0</v>
      </c>
      <c r="HC21" s="97">
        <v>0</v>
      </c>
      <c r="HD21" s="97"/>
      <c r="HE21" s="97"/>
      <c r="HF21" s="97"/>
      <c r="HG21" s="97"/>
      <c r="HH21" s="97"/>
      <c r="HI21" s="97"/>
    </row>
    <row r="22" spans="1:217" x14ac:dyDescent="0.25">
      <c r="A22" s="110" t="s">
        <v>236</v>
      </c>
      <c r="FZ22" s="102">
        <v>6</v>
      </c>
      <c r="GA22" s="102">
        <v>55</v>
      </c>
      <c r="GB22" s="102">
        <v>13</v>
      </c>
      <c r="GC22" s="102">
        <v>0</v>
      </c>
      <c r="GD22" s="102">
        <v>20</v>
      </c>
      <c r="GE22" s="102">
        <v>0</v>
      </c>
      <c r="GF22" s="102">
        <v>10</v>
      </c>
      <c r="GG22" s="102">
        <v>70</v>
      </c>
      <c r="GH22" s="102">
        <v>14</v>
      </c>
      <c r="GI22" s="102">
        <v>0</v>
      </c>
      <c r="GJ22" s="102">
        <v>17</v>
      </c>
      <c r="GK22" s="102">
        <v>0</v>
      </c>
      <c r="GL22" s="102">
        <v>7.8947368421052637</v>
      </c>
      <c r="GM22" s="102">
        <v>81.818181818181827</v>
      </c>
      <c r="GN22" s="102">
        <v>0</v>
      </c>
      <c r="GO22" s="102">
        <v>0</v>
      </c>
      <c r="GP22" s="102">
        <v>0</v>
      </c>
      <c r="GQ22" s="102">
        <v>0</v>
      </c>
      <c r="GR22" s="102">
        <v>2.6315789473684212</v>
      </c>
      <c r="GS22" s="102">
        <v>45.45454545454546</v>
      </c>
      <c r="GT22" s="102">
        <v>14.285714285714285</v>
      </c>
      <c r="GU22" s="102">
        <v>0</v>
      </c>
      <c r="GV22" s="102">
        <v>50</v>
      </c>
      <c r="GW22" s="102">
        <v>7.1428571428571423</v>
      </c>
      <c r="GX22" s="97">
        <v>3.225806451612903</v>
      </c>
      <c r="GY22" s="97">
        <v>60</v>
      </c>
      <c r="GZ22" s="97">
        <v>0</v>
      </c>
      <c r="HA22" s="97">
        <v>0</v>
      </c>
      <c r="HB22">
        <v>40</v>
      </c>
      <c r="HC22" s="97">
        <v>0</v>
      </c>
      <c r="HD22" s="97"/>
      <c r="HE22" s="97"/>
      <c r="HF22" s="97"/>
      <c r="HG22" s="97"/>
      <c r="HH22" s="97"/>
      <c r="HI22" s="97"/>
    </row>
    <row r="23" spans="1:217" x14ac:dyDescent="0.25">
      <c r="A23" s="110" t="s">
        <v>239</v>
      </c>
      <c r="FZ23" s="102">
        <v>56</v>
      </c>
      <c r="GA23" s="102">
        <v>18</v>
      </c>
      <c r="GB23" s="102">
        <v>0</v>
      </c>
      <c r="GC23" s="102">
        <v>83</v>
      </c>
      <c r="GD23" s="102">
        <v>0</v>
      </c>
      <c r="GE23" s="102">
        <v>100</v>
      </c>
      <c r="GF23" s="102">
        <v>52</v>
      </c>
      <c r="GG23" s="102">
        <v>40</v>
      </c>
      <c r="GH23" s="102">
        <v>0</v>
      </c>
      <c r="GI23" s="102">
        <v>80</v>
      </c>
      <c r="GJ23" s="102">
        <v>0</v>
      </c>
      <c r="GK23" s="102">
        <v>100</v>
      </c>
      <c r="GL23" s="102">
        <v>31.578947368421055</v>
      </c>
      <c r="GM23" s="102">
        <v>9.0909090909090917</v>
      </c>
      <c r="GN23" s="102">
        <v>11.111111111111111</v>
      </c>
      <c r="GO23" s="102">
        <v>50</v>
      </c>
      <c r="GP23" s="102">
        <v>0</v>
      </c>
      <c r="GQ23" s="102">
        <v>100</v>
      </c>
      <c r="GR23" s="102">
        <v>28.947368421052634</v>
      </c>
      <c r="GS23" s="102">
        <v>27.27272727272727</v>
      </c>
      <c r="GT23" s="102">
        <v>0</v>
      </c>
      <c r="GU23" s="102">
        <v>33.333333333333329</v>
      </c>
      <c r="GV23" s="102">
        <v>50</v>
      </c>
      <c r="GW23" s="102">
        <v>100</v>
      </c>
      <c r="GX23" s="97">
        <v>35.483870967741929</v>
      </c>
      <c r="GY23" s="97">
        <v>20</v>
      </c>
      <c r="GZ23" s="97">
        <v>14.285714285714285</v>
      </c>
      <c r="HA23" s="97">
        <v>85.714285714285708</v>
      </c>
      <c r="HB23">
        <v>0</v>
      </c>
      <c r="HC23" s="97">
        <v>100</v>
      </c>
      <c r="HD23" s="97"/>
      <c r="HE23" s="97"/>
      <c r="HF23" s="97"/>
      <c r="HG23" s="97"/>
      <c r="HH23" s="97"/>
      <c r="HI23" s="97"/>
    </row>
  </sheetData>
  <mergeCells count="56">
    <mergeCell ref="GL1:GQ1"/>
    <mergeCell ref="GF1:GK1"/>
    <mergeCell ref="FB1:FG1"/>
    <mergeCell ref="EP1:EU1"/>
    <mergeCell ref="EJ1:EO1"/>
    <mergeCell ref="FZ1:GE1"/>
    <mergeCell ref="FT1:FY1"/>
    <mergeCell ref="DL20:DQ20"/>
    <mergeCell ref="DL1:DQ1"/>
    <mergeCell ref="CT20:CY20"/>
    <mergeCell ref="CZ20:DE20"/>
    <mergeCell ref="CT1:CY1"/>
    <mergeCell ref="CZ1:DE1"/>
    <mergeCell ref="DF1:DK1"/>
    <mergeCell ref="BV20:CA20"/>
    <mergeCell ref="DF20:DK20"/>
    <mergeCell ref="CB20:CG20"/>
    <mergeCell ref="CH20:CM20"/>
    <mergeCell ref="CN20:CS20"/>
    <mergeCell ref="AF20:AK20"/>
    <mergeCell ref="AL20:AQ20"/>
    <mergeCell ref="AR20:AW20"/>
    <mergeCell ref="BV1:CA1"/>
    <mergeCell ref="CB1:CG1"/>
    <mergeCell ref="BP1:BU1"/>
    <mergeCell ref="AF1:AK1"/>
    <mergeCell ref="AL1:AQ1"/>
    <mergeCell ref="AR1:AW1"/>
    <mergeCell ref="AX1:BC1"/>
    <mergeCell ref="BD1:BI1"/>
    <mergeCell ref="BJ1:BO1"/>
    <mergeCell ref="AX20:BC20"/>
    <mergeCell ref="BD20:BI20"/>
    <mergeCell ref="BJ20:BO20"/>
    <mergeCell ref="BP20:BU20"/>
    <mergeCell ref="B20:G20"/>
    <mergeCell ref="H20:M20"/>
    <mergeCell ref="N20:S20"/>
    <mergeCell ref="T20:Y20"/>
    <mergeCell ref="Z20:AE20"/>
    <mergeCell ref="HD1:HI1"/>
    <mergeCell ref="B1:G1"/>
    <mergeCell ref="H1:M1"/>
    <mergeCell ref="N1:S1"/>
    <mergeCell ref="T1:Y1"/>
    <mergeCell ref="Z1:AE1"/>
    <mergeCell ref="CH1:CM1"/>
    <mergeCell ref="CN1:CS1"/>
    <mergeCell ref="GX1:HC1"/>
    <mergeCell ref="DX1:EC1"/>
    <mergeCell ref="DR1:DW1"/>
    <mergeCell ref="FN1:FS1"/>
    <mergeCell ref="FH1:FM1"/>
    <mergeCell ref="EV1:FA1"/>
    <mergeCell ref="GR1:GW1"/>
    <mergeCell ref="ED1:EI1"/>
  </mergeCells>
  <conditionalFormatting sqref="ED6:EI19">
    <cfRule type="cellIs" dxfId="1" priority="34" operator="greaterThan">
      <formula>50</formula>
    </cfRule>
  </conditionalFormatting>
  <conditionalFormatting sqref="EJ6:EO19">
    <cfRule type="dataBar" priority="2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{7B48534D-6030-410A-8123-B8787A38D395}</x14:id>
        </ext>
      </extLst>
    </cfRule>
  </conditionalFormatting>
  <conditionalFormatting sqref="EP6:EU19">
    <cfRule type="dataBar" priority="2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{4E6F4EF9-E072-4CE6-B1F4-51FBA5F64CE4}</x14:id>
        </ext>
      </extLst>
    </cfRule>
  </conditionalFormatting>
  <conditionalFormatting sqref="EV6:FA19">
    <cfRule type="dataBar" priority="2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{356EDC76-B932-4463-8D46-D71A8A07AF3E}</x14:id>
        </ext>
      </extLst>
    </cfRule>
  </conditionalFormatting>
  <conditionalFormatting sqref="FB6:FG19">
    <cfRule type="dataBar" priority="1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{534C6FBF-CDC2-406D-AF18-74F5E78780CE}</x14:id>
        </ext>
      </extLst>
    </cfRule>
  </conditionalFormatting>
  <conditionalFormatting sqref="FH6:FM19">
    <cfRule type="dataBar" priority="1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{BEAF65D0-3064-4C59-8397-66566DBE7CAF}</x14:id>
        </ext>
      </extLst>
    </cfRule>
  </conditionalFormatting>
  <conditionalFormatting sqref="FN6:FS19">
    <cfRule type="dataBar" priority="1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{C3646A7A-5436-4E1E-B7AB-0F0EB4C65FD9}</x14:id>
        </ext>
      </extLst>
    </cfRule>
  </conditionalFormatting>
  <conditionalFormatting sqref="FT6:FY19">
    <cfRule type="dataBar" priority="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{21F75D74-5ADC-4306-9183-F0F19A9E631D}</x14:id>
        </ext>
      </extLst>
    </cfRule>
  </conditionalFormatting>
  <conditionalFormatting sqref="FZ6:GE23">
    <cfRule type="dataBar" priority="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{5EE7E19E-8625-4608-A941-D882F4D7FA74}</x14:id>
        </ext>
      </extLst>
    </cfRule>
  </conditionalFormatting>
  <conditionalFormatting sqref="GF6:GK23">
    <cfRule type="dataBar" priority="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{5DBBEE5F-F33F-4109-98FF-B5E5592082F9}</x14:id>
        </ext>
      </extLst>
    </cfRule>
  </conditionalFormatting>
  <conditionalFormatting sqref="GL6:GQ23">
    <cfRule type="dataBar" priority="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{61EFFB2F-8A8E-497E-8F82-5D2A251D03E0}</x14:id>
        </ext>
      </extLst>
    </cfRule>
  </conditionalFormatting>
  <conditionalFormatting sqref="GR6:GW23">
    <cfRule type="dataBar" priority="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{A6AB625F-79C6-4795-824E-41644610089B}</x14:id>
        </ext>
      </extLst>
    </cfRule>
  </conditionalFormatting>
  <conditionalFormatting sqref="GX6:HC23">
    <cfRule type="dataBar" priority="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{B8B5F049-2254-405E-8E88-1551206AC7B5}</x14:id>
        </ext>
      </extLst>
    </cfRule>
  </conditionalFormatting>
  <conditionalFormatting sqref="HD6:HI23">
    <cfRule type="dataBar" priority="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{1802B547-5513-4295-9D95-EC9815A16714}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48534D-6030-410A-8123-B8787A38D3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EJ6:EO19</xm:sqref>
        </x14:conditionalFormatting>
        <x14:conditionalFormatting xmlns:xm="http://schemas.microsoft.com/office/excel/2006/main">
          <x14:cfRule type="dataBar" id="{4E6F4EF9-E072-4CE6-B1F4-51FBA5F64C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EP6:EU19</xm:sqref>
        </x14:conditionalFormatting>
        <x14:conditionalFormatting xmlns:xm="http://schemas.microsoft.com/office/excel/2006/main">
          <x14:cfRule type="dataBar" id="{356EDC76-B932-4463-8D46-D71A8A07AF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EV6:FA19</xm:sqref>
        </x14:conditionalFormatting>
        <x14:conditionalFormatting xmlns:xm="http://schemas.microsoft.com/office/excel/2006/main">
          <x14:cfRule type="dataBar" id="{534C6FBF-CDC2-406D-AF18-74F5E78780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FB6:FG19</xm:sqref>
        </x14:conditionalFormatting>
        <x14:conditionalFormatting xmlns:xm="http://schemas.microsoft.com/office/excel/2006/main">
          <x14:cfRule type="dataBar" id="{BEAF65D0-3064-4C59-8397-66566DBE7C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FH6:FM19</xm:sqref>
        </x14:conditionalFormatting>
        <x14:conditionalFormatting xmlns:xm="http://schemas.microsoft.com/office/excel/2006/main">
          <x14:cfRule type="dataBar" id="{C3646A7A-5436-4E1E-B7AB-0F0EB4C65F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FN6:FS19</xm:sqref>
        </x14:conditionalFormatting>
        <x14:conditionalFormatting xmlns:xm="http://schemas.microsoft.com/office/excel/2006/main">
          <x14:cfRule type="dataBar" id="{21F75D74-5ADC-4306-9183-F0F19A9E63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FT6:FY19</xm:sqref>
        </x14:conditionalFormatting>
        <x14:conditionalFormatting xmlns:xm="http://schemas.microsoft.com/office/excel/2006/main">
          <x14:cfRule type="dataBar" id="{5EE7E19E-8625-4608-A941-D882F4D7FA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FZ6:GE23</xm:sqref>
        </x14:conditionalFormatting>
        <x14:conditionalFormatting xmlns:xm="http://schemas.microsoft.com/office/excel/2006/main">
          <x14:cfRule type="dataBar" id="{5DBBEE5F-F33F-4109-98FF-B5E5592082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GF6:GK23</xm:sqref>
        </x14:conditionalFormatting>
        <x14:conditionalFormatting xmlns:xm="http://schemas.microsoft.com/office/excel/2006/main">
          <x14:cfRule type="dataBar" id="{61EFFB2F-8A8E-497E-8F82-5D2A251D03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GL6:GQ23</xm:sqref>
        </x14:conditionalFormatting>
        <x14:conditionalFormatting xmlns:xm="http://schemas.microsoft.com/office/excel/2006/main">
          <x14:cfRule type="dataBar" id="{A6AB625F-79C6-4795-824E-4164461008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GR6:GW23</xm:sqref>
        </x14:conditionalFormatting>
        <x14:conditionalFormatting xmlns:xm="http://schemas.microsoft.com/office/excel/2006/main">
          <x14:cfRule type="dataBar" id="{B8B5F049-2254-405E-8E88-1551206AC7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GX6:HC23</xm:sqref>
        </x14:conditionalFormatting>
        <x14:conditionalFormatting xmlns:xm="http://schemas.microsoft.com/office/excel/2006/main">
          <x14:cfRule type="dataBar" id="{1802B547-5513-4295-9D95-EC9815A167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HD6:HI23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</sheetPr>
  <dimension ref="A1:FA20"/>
  <sheetViews>
    <sheetView zoomScaleNormal="100" workbookViewId="0">
      <pane xSplit="1" ySplit="5" topLeftCell="EX6" activePane="bottomRight" state="frozen"/>
      <selection pane="topRight" activeCell="B1" sqref="B1"/>
      <selection pane="bottomLeft" activeCell="A6" sqref="A6"/>
      <selection pane="bottomRight" activeCell="FB10" sqref="FB10"/>
    </sheetView>
  </sheetViews>
  <sheetFormatPr defaultRowHeight="15" x14ac:dyDescent="0.25"/>
  <cols>
    <col min="1" max="1" width="51.42578125" bestFit="1" customWidth="1"/>
    <col min="2" max="121" width="13.42578125" customWidth="1"/>
    <col min="122" max="122" width="14.5703125" customWidth="1"/>
    <col min="123" max="123" width="13.7109375" customWidth="1"/>
    <col min="124" max="124" width="12.28515625" customWidth="1"/>
    <col min="125" max="125" width="11.28515625" customWidth="1"/>
    <col min="126" max="126" width="13.7109375" customWidth="1"/>
    <col min="127" max="127" width="12.140625" customWidth="1"/>
    <col min="128" max="128" width="16.85546875" customWidth="1"/>
    <col min="134" max="134" width="9.5703125" bestFit="1" customWidth="1"/>
  </cols>
  <sheetData>
    <row r="1" spans="1:157" s="63" customFormat="1" ht="21" x14ac:dyDescent="0.35">
      <c r="B1" s="139" t="s">
        <v>113</v>
      </c>
      <c r="C1" s="139"/>
      <c r="D1" s="139"/>
      <c r="E1" s="139"/>
      <c r="F1" s="139"/>
      <c r="G1" s="139"/>
      <c r="H1" s="139" t="s">
        <v>114</v>
      </c>
      <c r="I1" s="139"/>
      <c r="J1" s="139"/>
      <c r="K1" s="139"/>
      <c r="L1" s="139"/>
      <c r="M1" s="139"/>
      <c r="N1" s="139" t="s">
        <v>115</v>
      </c>
      <c r="O1" s="139"/>
      <c r="P1" s="139"/>
      <c r="Q1" s="139"/>
      <c r="R1" s="139"/>
      <c r="S1" s="139"/>
      <c r="T1" s="139" t="s">
        <v>116</v>
      </c>
      <c r="U1" s="139"/>
      <c r="V1" s="139"/>
      <c r="W1" s="139"/>
      <c r="X1" s="139"/>
      <c r="Y1" s="139"/>
      <c r="Z1" s="139" t="s">
        <v>117</v>
      </c>
      <c r="AA1" s="139"/>
      <c r="AB1" s="139"/>
      <c r="AC1" s="139"/>
      <c r="AD1" s="139"/>
      <c r="AE1" s="139"/>
      <c r="AF1" s="139" t="s">
        <v>118</v>
      </c>
      <c r="AG1" s="139"/>
      <c r="AH1" s="139"/>
      <c r="AI1" s="139"/>
      <c r="AJ1" s="139"/>
      <c r="AK1" s="139"/>
      <c r="AL1" s="139" t="s">
        <v>119</v>
      </c>
      <c r="AM1" s="139"/>
      <c r="AN1" s="139"/>
      <c r="AO1" s="139"/>
      <c r="AP1" s="139"/>
      <c r="AQ1" s="139"/>
      <c r="AR1" s="139" t="s">
        <v>120</v>
      </c>
      <c r="AS1" s="139"/>
      <c r="AT1" s="139"/>
      <c r="AU1" s="139"/>
      <c r="AV1" s="139"/>
      <c r="AW1" s="139"/>
      <c r="AX1" s="139" t="s">
        <v>121</v>
      </c>
      <c r="AY1" s="139"/>
      <c r="AZ1" s="139"/>
      <c r="BA1" s="139"/>
      <c r="BB1" s="139"/>
      <c r="BC1" s="139"/>
      <c r="BD1" s="139" t="s">
        <v>122</v>
      </c>
      <c r="BE1" s="139"/>
      <c r="BF1" s="139"/>
      <c r="BG1" s="139"/>
      <c r="BH1" s="139"/>
      <c r="BI1" s="139"/>
      <c r="BJ1" s="139" t="s">
        <v>123</v>
      </c>
      <c r="BK1" s="139"/>
      <c r="BL1" s="139"/>
      <c r="BM1" s="139"/>
      <c r="BN1" s="139"/>
      <c r="BO1" s="139"/>
      <c r="BP1" s="139" t="s">
        <v>124</v>
      </c>
      <c r="BQ1" s="139"/>
      <c r="BR1" s="139"/>
      <c r="BS1" s="139"/>
      <c r="BT1" s="139"/>
      <c r="BU1" s="139"/>
      <c r="BV1" s="139" t="s">
        <v>125</v>
      </c>
      <c r="BW1" s="139"/>
      <c r="BX1" s="139"/>
      <c r="BY1" s="139"/>
      <c r="BZ1" s="139"/>
      <c r="CA1" s="139"/>
      <c r="CB1" s="139" t="s">
        <v>126</v>
      </c>
      <c r="CC1" s="139"/>
      <c r="CD1" s="139"/>
      <c r="CE1" s="139"/>
      <c r="CF1" s="139"/>
      <c r="CG1" s="139"/>
      <c r="CH1" s="139" t="s">
        <v>127</v>
      </c>
      <c r="CI1" s="139"/>
      <c r="CJ1" s="139"/>
      <c r="CK1" s="139"/>
      <c r="CL1" s="139"/>
      <c r="CM1" s="139"/>
      <c r="CN1" s="139" t="s">
        <v>128</v>
      </c>
      <c r="CO1" s="139"/>
      <c r="CP1" s="139"/>
      <c r="CQ1" s="139"/>
      <c r="CR1" s="139"/>
      <c r="CS1" s="139"/>
      <c r="CT1" s="139" t="s">
        <v>129</v>
      </c>
      <c r="CU1" s="139"/>
      <c r="CV1" s="139"/>
      <c r="CW1" s="139"/>
      <c r="CX1" s="139"/>
      <c r="CY1" s="139"/>
      <c r="CZ1" s="139" t="s">
        <v>130</v>
      </c>
      <c r="DA1" s="139"/>
      <c r="DB1" s="139"/>
      <c r="DC1" s="139"/>
      <c r="DD1" s="139"/>
      <c r="DE1" s="139"/>
      <c r="DF1" s="139" t="s">
        <v>131</v>
      </c>
      <c r="DG1" s="139"/>
      <c r="DH1" s="139"/>
      <c r="DI1" s="139"/>
      <c r="DJ1" s="139"/>
      <c r="DK1" s="139"/>
      <c r="DL1" s="139" t="s">
        <v>132</v>
      </c>
      <c r="DM1" s="139"/>
      <c r="DN1" s="139"/>
      <c r="DO1" s="139"/>
      <c r="DP1" s="139"/>
      <c r="DQ1" s="139"/>
      <c r="DR1" s="139" t="s">
        <v>161</v>
      </c>
      <c r="DS1" s="139"/>
      <c r="DT1" s="139"/>
      <c r="DU1" s="139"/>
      <c r="DV1" s="139"/>
      <c r="DW1" s="139"/>
      <c r="DX1" s="139" t="s">
        <v>161</v>
      </c>
      <c r="DY1" s="139"/>
      <c r="DZ1" s="139"/>
      <c r="EA1" s="139"/>
      <c r="EB1" s="139"/>
      <c r="EC1" s="139"/>
      <c r="ED1" s="139" t="s">
        <v>176</v>
      </c>
      <c r="EE1" s="139"/>
      <c r="EF1" s="139"/>
      <c r="EG1" s="139"/>
      <c r="EH1" s="139"/>
      <c r="EI1" s="139"/>
      <c r="EJ1" s="139" t="s">
        <v>183</v>
      </c>
      <c r="EK1" s="139"/>
      <c r="EL1" s="139"/>
      <c r="EM1" s="139"/>
      <c r="EN1" s="139"/>
      <c r="EO1" s="139"/>
      <c r="EP1" s="139" t="s">
        <v>195</v>
      </c>
      <c r="EQ1" s="139"/>
      <c r="ER1" s="139"/>
      <c r="ES1" s="139"/>
      <c r="ET1" s="139"/>
      <c r="EU1" s="139"/>
      <c r="EV1" s="139" t="s">
        <v>193</v>
      </c>
      <c r="EW1" s="139"/>
      <c r="EX1" s="139"/>
      <c r="EY1" s="139"/>
      <c r="EZ1" s="139"/>
      <c r="FA1" s="139"/>
    </row>
    <row r="2" spans="1:157" s="58" customFormat="1" x14ac:dyDescent="0.25"/>
    <row r="3" spans="1:157" s="58" customFormat="1" x14ac:dyDescent="0.25"/>
    <row r="4" spans="1:157" s="58" customFormat="1" x14ac:dyDescent="0.25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EV4" s="59"/>
      <c r="EW4" s="59"/>
      <c r="EX4" s="59"/>
      <c r="EY4" s="59"/>
      <c r="EZ4" s="59"/>
      <c r="FA4" s="59"/>
    </row>
    <row r="5" spans="1:157" s="77" customFormat="1" ht="25.5" x14ac:dyDescent="0.3">
      <c r="A5" s="76"/>
      <c r="B5" s="64" t="s">
        <v>138</v>
      </c>
      <c r="C5" s="64" t="s">
        <v>137</v>
      </c>
      <c r="D5" s="64" t="s">
        <v>136</v>
      </c>
      <c r="E5" s="64" t="s">
        <v>135</v>
      </c>
      <c r="F5" s="64" t="s">
        <v>134</v>
      </c>
      <c r="G5" s="65" t="s">
        <v>133</v>
      </c>
      <c r="H5" s="64" t="s">
        <v>138</v>
      </c>
      <c r="I5" s="64" t="s">
        <v>137</v>
      </c>
      <c r="J5" s="64" t="s">
        <v>136</v>
      </c>
      <c r="K5" s="64" t="s">
        <v>135</v>
      </c>
      <c r="L5" s="64" t="s">
        <v>134</v>
      </c>
      <c r="M5" s="65" t="s">
        <v>133</v>
      </c>
      <c r="N5" s="64" t="s">
        <v>138</v>
      </c>
      <c r="O5" s="64" t="s">
        <v>137</v>
      </c>
      <c r="P5" s="64" t="s">
        <v>136</v>
      </c>
      <c r="Q5" s="64" t="s">
        <v>135</v>
      </c>
      <c r="R5" s="64" t="s">
        <v>134</v>
      </c>
      <c r="S5" s="65" t="s">
        <v>133</v>
      </c>
      <c r="T5" s="64" t="s">
        <v>138</v>
      </c>
      <c r="U5" s="64" t="s">
        <v>137</v>
      </c>
      <c r="V5" s="64" t="s">
        <v>136</v>
      </c>
      <c r="W5" s="64" t="s">
        <v>135</v>
      </c>
      <c r="X5" s="64" t="s">
        <v>134</v>
      </c>
      <c r="Y5" s="65" t="s">
        <v>133</v>
      </c>
      <c r="Z5" s="64" t="s">
        <v>138</v>
      </c>
      <c r="AA5" s="64" t="s">
        <v>137</v>
      </c>
      <c r="AB5" s="64" t="s">
        <v>136</v>
      </c>
      <c r="AC5" s="64" t="s">
        <v>135</v>
      </c>
      <c r="AD5" s="64" t="s">
        <v>134</v>
      </c>
      <c r="AE5" s="65" t="s">
        <v>133</v>
      </c>
      <c r="AF5" s="64" t="s">
        <v>138</v>
      </c>
      <c r="AG5" s="64" t="s">
        <v>137</v>
      </c>
      <c r="AH5" s="64" t="s">
        <v>136</v>
      </c>
      <c r="AI5" s="64" t="s">
        <v>135</v>
      </c>
      <c r="AJ5" s="64" t="s">
        <v>134</v>
      </c>
      <c r="AK5" s="65" t="s">
        <v>133</v>
      </c>
      <c r="AL5" s="64" t="s">
        <v>138</v>
      </c>
      <c r="AM5" s="64" t="s">
        <v>137</v>
      </c>
      <c r="AN5" s="64" t="s">
        <v>136</v>
      </c>
      <c r="AO5" s="64" t="s">
        <v>135</v>
      </c>
      <c r="AP5" s="64" t="s">
        <v>134</v>
      </c>
      <c r="AQ5" s="65" t="s">
        <v>133</v>
      </c>
      <c r="AR5" s="64" t="s">
        <v>138</v>
      </c>
      <c r="AS5" s="64" t="s">
        <v>137</v>
      </c>
      <c r="AT5" s="64" t="s">
        <v>136</v>
      </c>
      <c r="AU5" s="64" t="s">
        <v>135</v>
      </c>
      <c r="AV5" s="64" t="s">
        <v>134</v>
      </c>
      <c r="AW5" s="65" t="s">
        <v>133</v>
      </c>
      <c r="AX5" s="64" t="s">
        <v>138</v>
      </c>
      <c r="AY5" s="64" t="s">
        <v>137</v>
      </c>
      <c r="AZ5" s="64" t="s">
        <v>136</v>
      </c>
      <c r="BA5" s="64" t="s">
        <v>135</v>
      </c>
      <c r="BB5" s="64" t="s">
        <v>134</v>
      </c>
      <c r="BC5" s="65" t="s">
        <v>133</v>
      </c>
      <c r="BD5" s="64" t="s">
        <v>138</v>
      </c>
      <c r="BE5" s="64" t="s">
        <v>137</v>
      </c>
      <c r="BF5" s="64" t="s">
        <v>136</v>
      </c>
      <c r="BG5" s="64" t="s">
        <v>135</v>
      </c>
      <c r="BH5" s="64" t="s">
        <v>134</v>
      </c>
      <c r="BI5" s="65" t="s">
        <v>133</v>
      </c>
      <c r="BJ5" s="64" t="s">
        <v>138</v>
      </c>
      <c r="BK5" s="64" t="s">
        <v>137</v>
      </c>
      <c r="BL5" s="64" t="s">
        <v>136</v>
      </c>
      <c r="BM5" s="64" t="s">
        <v>135</v>
      </c>
      <c r="BN5" s="64" t="s">
        <v>134</v>
      </c>
      <c r="BO5" s="65" t="s">
        <v>133</v>
      </c>
      <c r="BP5" s="64" t="s">
        <v>138</v>
      </c>
      <c r="BQ5" s="64" t="s">
        <v>137</v>
      </c>
      <c r="BR5" s="64" t="s">
        <v>136</v>
      </c>
      <c r="BS5" s="64" t="s">
        <v>135</v>
      </c>
      <c r="BT5" s="64" t="s">
        <v>134</v>
      </c>
      <c r="BU5" s="65" t="s">
        <v>133</v>
      </c>
      <c r="BV5" s="64" t="s">
        <v>138</v>
      </c>
      <c r="BW5" s="64" t="s">
        <v>137</v>
      </c>
      <c r="BX5" s="64" t="s">
        <v>136</v>
      </c>
      <c r="BY5" s="64" t="s">
        <v>135</v>
      </c>
      <c r="BZ5" s="64" t="s">
        <v>134</v>
      </c>
      <c r="CA5" s="65" t="s">
        <v>133</v>
      </c>
      <c r="CB5" s="64" t="s">
        <v>138</v>
      </c>
      <c r="CC5" s="64" t="s">
        <v>137</v>
      </c>
      <c r="CD5" s="64" t="s">
        <v>136</v>
      </c>
      <c r="CE5" s="64" t="s">
        <v>135</v>
      </c>
      <c r="CF5" s="64" t="s">
        <v>134</v>
      </c>
      <c r="CG5" s="65" t="s">
        <v>133</v>
      </c>
      <c r="CH5" s="64" t="s">
        <v>138</v>
      </c>
      <c r="CI5" s="64" t="s">
        <v>137</v>
      </c>
      <c r="CJ5" s="64" t="s">
        <v>136</v>
      </c>
      <c r="CK5" s="64" t="s">
        <v>135</v>
      </c>
      <c r="CL5" s="64" t="s">
        <v>134</v>
      </c>
      <c r="CM5" s="65" t="s">
        <v>133</v>
      </c>
      <c r="CN5" s="64" t="s">
        <v>138</v>
      </c>
      <c r="CO5" s="64" t="s">
        <v>137</v>
      </c>
      <c r="CP5" s="64" t="s">
        <v>136</v>
      </c>
      <c r="CQ5" s="64" t="s">
        <v>135</v>
      </c>
      <c r="CR5" s="64" t="s">
        <v>134</v>
      </c>
      <c r="CS5" s="65" t="s">
        <v>133</v>
      </c>
      <c r="CT5" s="64" t="s">
        <v>138</v>
      </c>
      <c r="CU5" s="64" t="s">
        <v>137</v>
      </c>
      <c r="CV5" s="64" t="s">
        <v>136</v>
      </c>
      <c r="CW5" s="64" t="s">
        <v>135</v>
      </c>
      <c r="CX5" s="64" t="s">
        <v>134</v>
      </c>
      <c r="CY5" s="65" t="s">
        <v>133</v>
      </c>
      <c r="CZ5" s="64" t="s">
        <v>138</v>
      </c>
      <c r="DA5" s="64" t="s">
        <v>137</v>
      </c>
      <c r="DB5" s="64" t="s">
        <v>136</v>
      </c>
      <c r="DC5" s="64" t="s">
        <v>135</v>
      </c>
      <c r="DD5" s="64" t="s">
        <v>134</v>
      </c>
      <c r="DE5" s="65" t="s">
        <v>133</v>
      </c>
      <c r="DF5" s="64" t="s">
        <v>138</v>
      </c>
      <c r="DG5" s="64" t="s">
        <v>137</v>
      </c>
      <c r="DH5" s="64" t="s">
        <v>136</v>
      </c>
      <c r="DI5" s="64" t="s">
        <v>135</v>
      </c>
      <c r="DJ5" s="64" t="s">
        <v>134</v>
      </c>
      <c r="DK5" s="65" t="s">
        <v>133</v>
      </c>
      <c r="DL5" s="64" t="s">
        <v>138</v>
      </c>
      <c r="DM5" s="64" t="s">
        <v>137</v>
      </c>
      <c r="DN5" s="64" t="s">
        <v>136</v>
      </c>
      <c r="DO5" s="64" t="s">
        <v>135</v>
      </c>
      <c r="DP5" s="64" t="s">
        <v>134</v>
      </c>
      <c r="DQ5" s="65" t="s">
        <v>133</v>
      </c>
      <c r="DR5" s="64" t="s">
        <v>138</v>
      </c>
      <c r="DS5" s="64" t="s">
        <v>137</v>
      </c>
      <c r="DT5" s="64" t="s">
        <v>136</v>
      </c>
      <c r="DU5" s="64" t="s">
        <v>135</v>
      </c>
      <c r="DV5" s="64" t="s">
        <v>134</v>
      </c>
      <c r="DW5" s="65" t="s">
        <v>133</v>
      </c>
      <c r="DX5" s="64" t="s">
        <v>138</v>
      </c>
      <c r="DY5" s="64" t="s">
        <v>137</v>
      </c>
      <c r="DZ5" s="64" t="s">
        <v>136</v>
      </c>
      <c r="EA5" s="64" t="s">
        <v>135</v>
      </c>
      <c r="EB5" s="64" t="s">
        <v>134</v>
      </c>
      <c r="EC5" s="65" t="s">
        <v>133</v>
      </c>
      <c r="ED5" s="64" t="s">
        <v>138</v>
      </c>
      <c r="EE5" s="64" t="s">
        <v>137</v>
      </c>
      <c r="EF5" s="64" t="s">
        <v>136</v>
      </c>
      <c r="EG5" s="64" t="s">
        <v>135</v>
      </c>
      <c r="EH5" s="64" t="s">
        <v>134</v>
      </c>
      <c r="EI5" s="65" t="s">
        <v>133</v>
      </c>
      <c r="EJ5" s="64" t="s">
        <v>138</v>
      </c>
      <c r="EK5" s="64" t="s">
        <v>137</v>
      </c>
      <c r="EL5" s="64" t="s">
        <v>136</v>
      </c>
      <c r="EM5" s="64" t="s">
        <v>135</v>
      </c>
      <c r="EN5" s="64" t="s">
        <v>134</v>
      </c>
      <c r="EO5" s="65" t="s">
        <v>133</v>
      </c>
      <c r="EP5" s="64" t="s">
        <v>138</v>
      </c>
      <c r="EQ5" s="64" t="s">
        <v>137</v>
      </c>
      <c r="ER5" s="64" t="s">
        <v>136</v>
      </c>
      <c r="ES5" s="64" t="s">
        <v>135</v>
      </c>
      <c r="ET5" s="64" t="s">
        <v>134</v>
      </c>
      <c r="EU5" s="65" t="s">
        <v>133</v>
      </c>
      <c r="EV5" s="64" t="s">
        <v>138</v>
      </c>
      <c r="EW5" s="64" t="s">
        <v>137</v>
      </c>
      <c r="EX5" s="64" t="s">
        <v>136</v>
      </c>
      <c r="EY5" s="64" t="s">
        <v>135</v>
      </c>
      <c r="EZ5" s="64" t="s">
        <v>134</v>
      </c>
      <c r="FA5" s="65" t="s">
        <v>133</v>
      </c>
    </row>
    <row r="6" spans="1:157" s="80" customFormat="1" ht="16.5" x14ac:dyDescent="0.3">
      <c r="A6" s="78" t="s">
        <v>166</v>
      </c>
      <c r="B6" s="79">
        <f>'Sect. Gov Priorities Fig 2-6 AR'!B6</f>
        <v>0</v>
      </c>
      <c r="C6" s="79">
        <f>'Sect. Gov Priorities Fig 2-6 AR'!C6</f>
        <v>0</v>
      </c>
      <c r="D6" s="79">
        <f>'Sect. Gov Priorities Fig 2-6 AR'!D6</f>
        <v>0</v>
      </c>
      <c r="E6" s="79">
        <f>'Sect. Gov Priorities Fig 2-6 AR'!E6</f>
        <v>0</v>
      </c>
      <c r="F6" s="79">
        <f>'Sect. Gov Priorities Fig 2-6 AR'!F6</f>
        <v>0</v>
      </c>
      <c r="G6" s="79">
        <f>'Sect. Gov Priorities Fig 2-6 AR'!G6</f>
        <v>0</v>
      </c>
      <c r="H6" s="79">
        <f>'Sect. Gov Priorities Fig 2-6 AR'!H6</f>
        <v>0</v>
      </c>
      <c r="I6" s="79">
        <f>'Sect. Gov Priorities Fig 2-6 AR'!I6</f>
        <v>0</v>
      </c>
      <c r="J6" s="79">
        <f>'Sect. Gov Priorities Fig 2-6 AR'!J6</f>
        <v>0</v>
      </c>
      <c r="K6" s="79">
        <f>'Sect. Gov Priorities Fig 2-6 AR'!K6</f>
        <v>0</v>
      </c>
      <c r="L6" s="79">
        <f>'Sect. Gov Priorities Fig 2-6 AR'!L6</f>
        <v>0</v>
      </c>
      <c r="M6" s="79">
        <f>'Sect. Gov Priorities Fig 2-6 AR'!M6</f>
        <v>0</v>
      </c>
      <c r="N6" s="79">
        <f>'Sect. Gov Priorities Fig 2-6 AR'!N6</f>
        <v>0</v>
      </c>
      <c r="O6" s="79">
        <f>'Sect. Gov Priorities Fig 2-6 AR'!O6</f>
        <v>0</v>
      </c>
      <c r="P6" s="79">
        <f>'Sect. Gov Priorities Fig 2-6 AR'!P6</f>
        <v>0</v>
      </c>
      <c r="Q6" s="79">
        <f>'Sect. Gov Priorities Fig 2-6 AR'!Q6</f>
        <v>0</v>
      </c>
      <c r="R6" s="79">
        <f>'Sect. Gov Priorities Fig 2-6 AR'!R6</f>
        <v>0</v>
      </c>
      <c r="S6" s="79">
        <f>'Sect. Gov Priorities Fig 2-6 AR'!S6</f>
        <v>0</v>
      </c>
      <c r="T6" s="79">
        <f>'Sect. Gov Priorities Fig 2-6 AR'!T6</f>
        <v>0</v>
      </c>
      <c r="U6" s="79">
        <f>'Sect. Gov Priorities Fig 2-6 AR'!U6</f>
        <v>0</v>
      </c>
      <c r="V6" s="79">
        <f>'Sect. Gov Priorities Fig 2-6 AR'!V6</f>
        <v>0</v>
      </c>
      <c r="W6" s="79">
        <f>'Sect. Gov Priorities Fig 2-6 AR'!W6</f>
        <v>0</v>
      </c>
      <c r="X6" s="79">
        <f>'Sect. Gov Priorities Fig 2-6 AR'!X6</f>
        <v>0</v>
      </c>
      <c r="Y6" s="79">
        <f>'Sect. Gov Priorities Fig 2-6 AR'!Y6</f>
        <v>0</v>
      </c>
      <c r="Z6" s="79">
        <f>'Sect. Gov Priorities Fig 2-6 AR'!Z6</f>
        <v>0</v>
      </c>
      <c r="AA6" s="79">
        <f>'Sect. Gov Priorities Fig 2-6 AR'!AA6</f>
        <v>0</v>
      </c>
      <c r="AB6" s="79">
        <f>'Sect. Gov Priorities Fig 2-6 AR'!AB6</f>
        <v>0</v>
      </c>
      <c r="AC6" s="79">
        <f>'Sect. Gov Priorities Fig 2-6 AR'!AC6</f>
        <v>0</v>
      </c>
      <c r="AD6" s="79">
        <f>'Sect. Gov Priorities Fig 2-6 AR'!AD6</f>
        <v>0</v>
      </c>
      <c r="AE6" s="79">
        <f>'Sect. Gov Priorities Fig 2-6 AR'!AE6</f>
        <v>0</v>
      </c>
      <c r="AF6" s="79">
        <f>'Sect. Gov Priorities Fig 2-6 AR'!AF6</f>
        <v>0</v>
      </c>
      <c r="AG6" s="79">
        <f>'Sect. Gov Priorities Fig 2-6 AR'!AG6</f>
        <v>0</v>
      </c>
      <c r="AH6" s="79">
        <f>'Sect. Gov Priorities Fig 2-6 AR'!AH6</f>
        <v>0</v>
      </c>
      <c r="AI6" s="79">
        <f>'Sect. Gov Priorities Fig 2-6 AR'!AI6</f>
        <v>0</v>
      </c>
      <c r="AJ6" s="79">
        <f>'Sect. Gov Priorities Fig 2-6 AR'!AJ6</f>
        <v>0</v>
      </c>
      <c r="AK6" s="79">
        <f>'Sect. Gov Priorities Fig 2-6 AR'!AK6</f>
        <v>0</v>
      </c>
      <c r="AL6" s="79">
        <f>'Sect. Gov Priorities Fig 2-6 AR'!AL6</f>
        <v>0</v>
      </c>
      <c r="AM6" s="79">
        <f>'Sect. Gov Priorities Fig 2-6 AR'!AM6</f>
        <v>0</v>
      </c>
      <c r="AN6" s="79">
        <f>'Sect. Gov Priorities Fig 2-6 AR'!AN6</f>
        <v>0</v>
      </c>
      <c r="AO6" s="79">
        <f>'Sect. Gov Priorities Fig 2-6 AR'!AO6</f>
        <v>0</v>
      </c>
      <c r="AP6" s="79">
        <f>'Sect. Gov Priorities Fig 2-6 AR'!AP6</f>
        <v>0</v>
      </c>
      <c r="AQ6" s="79">
        <f>'Sect. Gov Priorities Fig 2-6 AR'!AQ6</f>
        <v>0</v>
      </c>
      <c r="AR6" s="79">
        <f>'Sect. Gov Priorities Fig 2-6 AR'!AR6</f>
        <v>0</v>
      </c>
      <c r="AS6" s="79">
        <f>'Sect. Gov Priorities Fig 2-6 AR'!AS6</f>
        <v>0</v>
      </c>
      <c r="AT6" s="79">
        <f>'Sect. Gov Priorities Fig 2-6 AR'!AT6</f>
        <v>0</v>
      </c>
      <c r="AU6" s="79">
        <f>'Sect. Gov Priorities Fig 2-6 AR'!AU6</f>
        <v>0</v>
      </c>
      <c r="AV6" s="79">
        <f>'Sect. Gov Priorities Fig 2-6 AR'!AV6</f>
        <v>0</v>
      </c>
      <c r="AW6" s="79">
        <f>'Sect. Gov Priorities Fig 2-6 AR'!AW6</f>
        <v>0</v>
      </c>
      <c r="AX6" s="79">
        <f>'Sect. Gov Priorities Fig 2-6 AR'!AX6</f>
        <v>0</v>
      </c>
      <c r="AY6" s="79">
        <f>'Sect. Gov Priorities Fig 2-6 AR'!AY6</f>
        <v>0</v>
      </c>
      <c r="AZ6" s="79">
        <f>'Sect. Gov Priorities Fig 2-6 AR'!AZ6</f>
        <v>0</v>
      </c>
      <c r="BA6" s="79">
        <f>'Sect. Gov Priorities Fig 2-6 AR'!BA6</f>
        <v>0</v>
      </c>
      <c r="BB6" s="79">
        <f>'Sect. Gov Priorities Fig 2-6 AR'!BB6</f>
        <v>0</v>
      </c>
      <c r="BC6" s="79">
        <f>'Sect. Gov Priorities Fig 2-6 AR'!BC6</f>
        <v>0</v>
      </c>
      <c r="BD6" s="79">
        <f>'Sect. Gov Priorities Fig 2-6 AR'!BD6</f>
        <v>0</v>
      </c>
      <c r="BE6" s="79">
        <f>'Sect. Gov Priorities Fig 2-6 AR'!BE6</f>
        <v>0</v>
      </c>
      <c r="BF6" s="79">
        <f>'Sect. Gov Priorities Fig 2-6 AR'!BF6</f>
        <v>0</v>
      </c>
      <c r="BG6" s="79">
        <f>'Sect. Gov Priorities Fig 2-6 AR'!BG6</f>
        <v>0</v>
      </c>
      <c r="BH6" s="79">
        <f>'Sect. Gov Priorities Fig 2-6 AR'!BH6</f>
        <v>0</v>
      </c>
      <c r="BI6" s="79">
        <f>'Sect. Gov Priorities Fig 2-6 AR'!BI6</f>
        <v>0</v>
      </c>
      <c r="BJ6" s="79">
        <f>'Sect. Gov Priorities Fig 2-6 AR'!BJ6</f>
        <v>0</v>
      </c>
      <c r="BK6" s="79">
        <f>'Sect. Gov Priorities Fig 2-6 AR'!BK6</f>
        <v>0</v>
      </c>
      <c r="BL6" s="79">
        <f>'Sect. Gov Priorities Fig 2-6 AR'!BL6</f>
        <v>0</v>
      </c>
      <c r="BM6" s="79">
        <f>'Sect. Gov Priorities Fig 2-6 AR'!BM6</f>
        <v>0</v>
      </c>
      <c r="BN6" s="79">
        <f>'Sect. Gov Priorities Fig 2-6 AR'!BN6</f>
        <v>0</v>
      </c>
      <c r="BO6" s="79">
        <f>'Sect. Gov Priorities Fig 2-6 AR'!BO6</f>
        <v>0</v>
      </c>
      <c r="BP6" s="79">
        <f>'Sect. Gov Priorities Fig 2-6 AR'!BP6</f>
        <v>0</v>
      </c>
      <c r="BQ6" s="79">
        <f>'Sect. Gov Priorities Fig 2-6 AR'!BQ6</f>
        <v>0</v>
      </c>
      <c r="BR6" s="79">
        <f>'Sect. Gov Priorities Fig 2-6 AR'!BR6</f>
        <v>0</v>
      </c>
      <c r="BS6" s="79">
        <f>'Sect. Gov Priorities Fig 2-6 AR'!BS6</f>
        <v>0</v>
      </c>
      <c r="BT6" s="79">
        <f>'Sect. Gov Priorities Fig 2-6 AR'!BT6</f>
        <v>0</v>
      </c>
      <c r="BU6" s="79">
        <f>'Sect. Gov Priorities Fig 2-6 AR'!BU6</f>
        <v>0</v>
      </c>
      <c r="BV6" s="79">
        <f>'Sect. Gov Priorities Fig 2-6 AR'!BV6</f>
        <v>0</v>
      </c>
      <c r="BW6" s="79">
        <f>'Sect. Gov Priorities Fig 2-6 AR'!BW6</f>
        <v>0</v>
      </c>
      <c r="BX6" s="79">
        <f>'Sect. Gov Priorities Fig 2-6 AR'!BX6</f>
        <v>0</v>
      </c>
      <c r="BY6" s="79">
        <f>'Sect. Gov Priorities Fig 2-6 AR'!BY6</f>
        <v>0</v>
      </c>
      <c r="BZ6" s="79">
        <f>'Sect. Gov Priorities Fig 2-6 AR'!BZ6</f>
        <v>0</v>
      </c>
      <c r="CA6" s="79">
        <f>'Sect. Gov Priorities Fig 2-6 AR'!CA6</f>
        <v>0</v>
      </c>
      <c r="CB6" s="79">
        <f>'Sect. Gov Priorities Fig 2-6 AR'!CB6</f>
        <v>0</v>
      </c>
      <c r="CC6" s="79">
        <f>'Sect. Gov Priorities Fig 2-6 AR'!CC6</f>
        <v>0</v>
      </c>
      <c r="CD6" s="79">
        <f>'Sect. Gov Priorities Fig 2-6 AR'!CD6</f>
        <v>0</v>
      </c>
      <c r="CE6" s="79">
        <f>'Sect. Gov Priorities Fig 2-6 AR'!CE6</f>
        <v>0</v>
      </c>
      <c r="CF6" s="79">
        <f>'Sect. Gov Priorities Fig 2-6 AR'!CF6</f>
        <v>0</v>
      </c>
      <c r="CG6" s="79">
        <f>'Sect. Gov Priorities Fig 2-6 AR'!CG6</f>
        <v>0</v>
      </c>
      <c r="CH6" s="79">
        <f>'Sect. Gov Priorities Fig 2-6 AR'!CH6</f>
        <v>0</v>
      </c>
      <c r="CI6" s="79">
        <f>'Sect. Gov Priorities Fig 2-6 AR'!CI6</f>
        <v>0</v>
      </c>
      <c r="CJ6" s="79">
        <f>'Sect. Gov Priorities Fig 2-6 AR'!CJ6</f>
        <v>0</v>
      </c>
      <c r="CK6" s="79">
        <f>'Sect. Gov Priorities Fig 2-6 AR'!CK6</f>
        <v>0</v>
      </c>
      <c r="CL6" s="79">
        <f>'Sect. Gov Priorities Fig 2-6 AR'!CL6</f>
        <v>0</v>
      </c>
      <c r="CM6" s="79">
        <f>'Sect. Gov Priorities Fig 2-6 AR'!CM6</f>
        <v>0</v>
      </c>
      <c r="CN6" s="79">
        <f>'Sect. Gov Priorities Fig 2-6 AR'!CN6</f>
        <v>0</v>
      </c>
      <c r="CO6" s="79">
        <f>'Sect. Gov Priorities Fig 2-6 AR'!CO6</f>
        <v>0</v>
      </c>
      <c r="CP6" s="79">
        <f>'Sect. Gov Priorities Fig 2-6 AR'!CP6</f>
        <v>0</v>
      </c>
      <c r="CQ6" s="79">
        <f>'Sect. Gov Priorities Fig 2-6 AR'!CQ6</f>
        <v>0</v>
      </c>
      <c r="CR6" s="79">
        <f>'Sect. Gov Priorities Fig 2-6 AR'!CR6</f>
        <v>0</v>
      </c>
      <c r="CS6" s="79">
        <f>'Sect. Gov Priorities Fig 2-6 AR'!CS6</f>
        <v>0</v>
      </c>
      <c r="CT6" s="79">
        <f>'Sect. Gov Priorities Fig 2-6 AR'!CT6</f>
        <v>0</v>
      </c>
      <c r="CU6" s="79">
        <f>'Sect. Gov Priorities Fig 2-6 AR'!CU6</f>
        <v>0</v>
      </c>
      <c r="CV6" s="79">
        <f>'Sect. Gov Priorities Fig 2-6 AR'!CV6</f>
        <v>0</v>
      </c>
      <c r="CW6" s="79">
        <f>'Sect. Gov Priorities Fig 2-6 AR'!CW6</f>
        <v>0</v>
      </c>
      <c r="CX6" s="79">
        <f>'Sect. Gov Priorities Fig 2-6 AR'!CX6</f>
        <v>0</v>
      </c>
      <c r="CY6" s="79">
        <f>'Sect. Gov Priorities Fig 2-6 AR'!CY6</f>
        <v>0</v>
      </c>
      <c r="CZ6" s="79">
        <f>'Sect. Gov Priorities Fig 2-6 AR'!CZ6</f>
        <v>0</v>
      </c>
      <c r="DA6" s="79">
        <f>'Sect. Gov Priorities Fig 2-6 AR'!DA6</f>
        <v>0</v>
      </c>
      <c r="DB6" s="79">
        <f>'Sect. Gov Priorities Fig 2-6 AR'!DB6</f>
        <v>0</v>
      </c>
      <c r="DC6" s="79">
        <f>'Sect. Gov Priorities Fig 2-6 AR'!DC6</f>
        <v>0</v>
      </c>
      <c r="DD6" s="79">
        <f>'Sect. Gov Priorities Fig 2-6 AR'!DD6</f>
        <v>0</v>
      </c>
      <c r="DE6" s="79">
        <f>'Sect. Gov Priorities Fig 2-6 AR'!DE6</f>
        <v>0</v>
      </c>
      <c r="DF6" s="79">
        <f>'Sect. Gov Priorities Fig 2-6 AR'!DF6</f>
        <v>0</v>
      </c>
      <c r="DG6" s="79">
        <f>'Sect. Gov Priorities Fig 2-6 AR'!DG6</f>
        <v>0</v>
      </c>
      <c r="DH6" s="79">
        <f>'Sect. Gov Priorities Fig 2-6 AR'!DH6</f>
        <v>0</v>
      </c>
      <c r="DI6" s="79">
        <f>'Sect. Gov Priorities Fig 2-6 AR'!DI6</f>
        <v>0</v>
      </c>
      <c r="DJ6" s="79">
        <f>'Sect. Gov Priorities Fig 2-6 AR'!DJ6</f>
        <v>0</v>
      </c>
      <c r="DK6" s="79">
        <f>'Sect. Gov Priorities Fig 2-6 AR'!DK6</f>
        <v>0</v>
      </c>
      <c r="DL6" s="79">
        <f>'Sect. Gov Priorities Fig 2-6 AR'!DL6</f>
        <v>100</v>
      </c>
      <c r="DM6" s="79">
        <f>'Sect. Gov Priorities Fig 2-6 AR'!DM6</f>
        <v>97.916666666666657</v>
      </c>
      <c r="DN6" s="79">
        <f>'Sect. Gov Priorities Fig 2-6 AR'!DN6</f>
        <v>100</v>
      </c>
      <c r="DO6" s="79">
        <f>'Sect. Gov Priorities Fig 2-6 AR'!DO6</f>
        <v>100</v>
      </c>
      <c r="DP6" s="79">
        <f>'Sect. Gov Priorities Fig 2-6 AR'!DP6</f>
        <v>100</v>
      </c>
      <c r="DQ6" s="79">
        <f>'Sect. Gov Priorities Fig 2-6 AR'!DQ6</f>
        <v>85.454545454545453</v>
      </c>
      <c r="DR6" s="79">
        <f>'Sect. Gov Priorities Fig 2-6 AR'!DR6</f>
        <v>100</v>
      </c>
      <c r="DS6" s="79">
        <f>'Sect. Gov Priorities Fig 2-6 AR'!DS6</f>
        <v>100</v>
      </c>
      <c r="DT6" s="79">
        <f>'Sect. Gov Priorities Fig 2-6 AR'!DT6</f>
        <v>100</v>
      </c>
      <c r="DU6" s="79">
        <f>'Sect. Gov Priorities Fig 2-6 AR'!DU6</f>
        <v>96.09375</v>
      </c>
      <c r="DV6" s="79">
        <f>'Sect. Gov Priorities Fig 2-6 AR'!DV6</f>
        <v>100</v>
      </c>
      <c r="DW6" s="79">
        <f>'Sect. Gov Priorities Fig 2-6 AR'!DW6</f>
        <v>80.882352941176478</v>
      </c>
      <c r="DX6" s="79">
        <v>100.00000000000003</v>
      </c>
      <c r="DY6" s="79">
        <v>92.592592592592609</v>
      </c>
      <c r="DZ6" s="79">
        <v>100</v>
      </c>
      <c r="EA6" s="79">
        <v>78.048780487804876</v>
      </c>
      <c r="EB6" s="79">
        <v>100</v>
      </c>
      <c r="EC6" s="79">
        <v>71.666666666666671</v>
      </c>
      <c r="ED6" s="79">
        <v>100</v>
      </c>
      <c r="EE6" s="79">
        <v>99.999999999999986</v>
      </c>
      <c r="EF6" s="79">
        <v>100</v>
      </c>
      <c r="EG6" s="79">
        <v>78.260869565217376</v>
      </c>
      <c r="EH6" s="79">
        <v>100</v>
      </c>
      <c r="EI6" s="79">
        <v>91.803278688524586</v>
      </c>
      <c r="EJ6" s="102">
        <v>79.729729729729726</v>
      </c>
      <c r="EK6" s="102">
        <v>79.629629629629633</v>
      </c>
      <c r="EL6" s="102">
        <v>95</v>
      </c>
      <c r="EM6" s="102">
        <v>50</v>
      </c>
      <c r="EN6" s="102">
        <v>100</v>
      </c>
      <c r="EO6" s="102">
        <v>77.966101694915253</v>
      </c>
      <c r="EP6" s="102">
        <v>82</v>
      </c>
      <c r="EQ6" s="102">
        <v>88</v>
      </c>
      <c r="ER6" s="102">
        <v>100</v>
      </c>
      <c r="ES6" s="102">
        <v>71</v>
      </c>
      <c r="ET6" s="102">
        <v>100</v>
      </c>
      <c r="EU6" s="102">
        <v>84</v>
      </c>
      <c r="EV6" s="102">
        <v>70.94017094017093</v>
      </c>
      <c r="EW6" s="102">
        <v>83.928571428571416</v>
      </c>
      <c r="EX6" s="102">
        <v>87.096774193548384</v>
      </c>
      <c r="EY6" s="102">
        <v>81.249999999999986</v>
      </c>
      <c r="EZ6" s="102">
        <v>96</v>
      </c>
      <c r="FA6" s="102">
        <v>87.301587301587304</v>
      </c>
    </row>
    <row r="7" spans="1:157" s="80" customFormat="1" ht="16.5" x14ac:dyDescent="0.3">
      <c r="A7" s="78" t="s">
        <v>147</v>
      </c>
      <c r="B7" s="79">
        <f>'Sect. Gov Priorities Fig 2-6 AR'!B7</f>
        <v>0</v>
      </c>
      <c r="C7" s="79">
        <f>'Sect. Gov Priorities Fig 2-6 AR'!C7</f>
        <v>0</v>
      </c>
      <c r="D7" s="79">
        <f>'Sect. Gov Priorities Fig 2-6 AR'!D7</f>
        <v>0</v>
      </c>
      <c r="E7" s="79">
        <f>'Sect. Gov Priorities Fig 2-6 AR'!E7</f>
        <v>0</v>
      </c>
      <c r="F7" s="79">
        <f>'Sect. Gov Priorities Fig 2-6 AR'!F7</f>
        <v>0</v>
      </c>
      <c r="G7" s="79">
        <f>'Sect. Gov Priorities Fig 2-6 AR'!G7</f>
        <v>0</v>
      </c>
      <c r="H7" s="79">
        <f>'Sect. Gov Priorities Fig 2-6 AR'!H7</f>
        <v>0</v>
      </c>
      <c r="I7" s="79">
        <f>'Sect. Gov Priorities Fig 2-6 AR'!I7</f>
        <v>0</v>
      </c>
      <c r="J7" s="79">
        <f>'Sect. Gov Priorities Fig 2-6 AR'!J7</f>
        <v>0</v>
      </c>
      <c r="K7" s="79">
        <f>'Sect. Gov Priorities Fig 2-6 AR'!K7</f>
        <v>0</v>
      </c>
      <c r="L7" s="79">
        <f>'Sect. Gov Priorities Fig 2-6 AR'!L7</f>
        <v>0</v>
      </c>
      <c r="M7" s="79">
        <f>'Sect. Gov Priorities Fig 2-6 AR'!M7</f>
        <v>0</v>
      </c>
      <c r="N7" s="79">
        <f>'Sect. Gov Priorities Fig 2-6 AR'!N7</f>
        <v>0</v>
      </c>
      <c r="O7" s="79">
        <f>'Sect. Gov Priorities Fig 2-6 AR'!O7</f>
        <v>0</v>
      </c>
      <c r="P7" s="79">
        <f>'Sect. Gov Priorities Fig 2-6 AR'!P7</f>
        <v>0</v>
      </c>
      <c r="Q7" s="79">
        <f>'Sect. Gov Priorities Fig 2-6 AR'!Q7</f>
        <v>0</v>
      </c>
      <c r="R7" s="79">
        <f>'Sect. Gov Priorities Fig 2-6 AR'!R7</f>
        <v>0</v>
      </c>
      <c r="S7" s="79">
        <f>'Sect. Gov Priorities Fig 2-6 AR'!S7</f>
        <v>0</v>
      </c>
      <c r="T7" s="79">
        <f>'Sect. Gov Priorities Fig 2-6 AR'!T7</f>
        <v>0</v>
      </c>
      <c r="U7" s="79">
        <f>'Sect. Gov Priorities Fig 2-6 AR'!U7</f>
        <v>0</v>
      </c>
      <c r="V7" s="79">
        <f>'Sect. Gov Priorities Fig 2-6 AR'!V7</f>
        <v>0</v>
      </c>
      <c r="W7" s="79">
        <f>'Sect. Gov Priorities Fig 2-6 AR'!W7</f>
        <v>0</v>
      </c>
      <c r="X7" s="79">
        <f>'Sect. Gov Priorities Fig 2-6 AR'!X7</f>
        <v>0</v>
      </c>
      <c r="Y7" s="79">
        <f>'Sect. Gov Priorities Fig 2-6 AR'!Y7</f>
        <v>0</v>
      </c>
      <c r="Z7" s="79">
        <f>'Sect. Gov Priorities Fig 2-6 AR'!Z7</f>
        <v>0</v>
      </c>
      <c r="AA7" s="79">
        <f>'Sect. Gov Priorities Fig 2-6 AR'!AA7</f>
        <v>0</v>
      </c>
      <c r="AB7" s="79">
        <f>'Sect. Gov Priorities Fig 2-6 AR'!AB7</f>
        <v>0</v>
      </c>
      <c r="AC7" s="79">
        <f>'Sect. Gov Priorities Fig 2-6 AR'!AC7</f>
        <v>0</v>
      </c>
      <c r="AD7" s="79">
        <f>'Sect. Gov Priorities Fig 2-6 AR'!AD7</f>
        <v>0</v>
      </c>
      <c r="AE7" s="79">
        <f>'Sect. Gov Priorities Fig 2-6 AR'!AE7</f>
        <v>0</v>
      </c>
      <c r="AF7" s="79">
        <f>'Sect. Gov Priorities Fig 2-6 AR'!AF7</f>
        <v>0</v>
      </c>
      <c r="AG7" s="79">
        <f>'Sect. Gov Priorities Fig 2-6 AR'!AG7</f>
        <v>0</v>
      </c>
      <c r="AH7" s="79">
        <f>'Sect. Gov Priorities Fig 2-6 AR'!AH7</f>
        <v>0</v>
      </c>
      <c r="AI7" s="79">
        <f>'Sect. Gov Priorities Fig 2-6 AR'!AI7</f>
        <v>0</v>
      </c>
      <c r="AJ7" s="79">
        <f>'Sect. Gov Priorities Fig 2-6 AR'!AJ7</f>
        <v>0</v>
      </c>
      <c r="AK7" s="79">
        <f>'Sect. Gov Priorities Fig 2-6 AR'!AK7</f>
        <v>0</v>
      </c>
      <c r="AL7" s="79">
        <f>'Sect. Gov Priorities Fig 2-6 AR'!AL7</f>
        <v>0</v>
      </c>
      <c r="AM7" s="79">
        <f>'Sect. Gov Priorities Fig 2-6 AR'!AM7</f>
        <v>0</v>
      </c>
      <c r="AN7" s="79">
        <f>'Sect. Gov Priorities Fig 2-6 AR'!AN7</f>
        <v>0</v>
      </c>
      <c r="AO7" s="79">
        <f>'Sect. Gov Priorities Fig 2-6 AR'!AO7</f>
        <v>0</v>
      </c>
      <c r="AP7" s="79">
        <f>'Sect. Gov Priorities Fig 2-6 AR'!AP7</f>
        <v>0</v>
      </c>
      <c r="AQ7" s="79">
        <f>'Sect. Gov Priorities Fig 2-6 AR'!AQ7</f>
        <v>0</v>
      </c>
      <c r="AR7" s="79">
        <f>'Sect. Gov Priorities Fig 2-6 AR'!AR7</f>
        <v>0</v>
      </c>
      <c r="AS7" s="79">
        <f>'Sect. Gov Priorities Fig 2-6 AR'!AS7</f>
        <v>0</v>
      </c>
      <c r="AT7" s="79">
        <f>'Sect. Gov Priorities Fig 2-6 AR'!AT7</f>
        <v>0</v>
      </c>
      <c r="AU7" s="79">
        <f>'Sect. Gov Priorities Fig 2-6 AR'!AU7</f>
        <v>0</v>
      </c>
      <c r="AV7" s="79">
        <f>'Sect. Gov Priorities Fig 2-6 AR'!AV7</f>
        <v>0</v>
      </c>
      <c r="AW7" s="79">
        <f>'Sect. Gov Priorities Fig 2-6 AR'!AW7</f>
        <v>0</v>
      </c>
      <c r="AX7" s="79">
        <f>'Sect. Gov Priorities Fig 2-6 AR'!AX7</f>
        <v>0</v>
      </c>
      <c r="AY7" s="79">
        <f>'Sect. Gov Priorities Fig 2-6 AR'!AY7</f>
        <v>0</v>
      </c>
      <c r="AZ7" s="79">
        <f>'Sect. Gov Priorities Fig 2-6 AR'!AZ7</f>
        <v>0</v>
      </c>
      <c r="BA7" s="79">
        <f>'Sect. Gov Priorities Fig 2-6 AR'!BA7</f>
        <v>0</v>
      </c>
      <c r="BB7" s="79">
        <f>'Sect. Gov Priorities Fig 2-6 AR'!BB7</f>
        <v>0</v>
      </c>
      <c r="BC7" s="79">
        <f>'Sect. Gov Priorities Fig 2-6 AR'!BC7</f>
        <v>0</v>
      </c>
      <c r="BD7" s="79">
        <f>'Sect. Gov Priorities Fig 2-6 AR'!BD7</f>
        <v>0</v>
      </c>
      <c r="BE7" s="79">
        <f>'Sect. Gov Priorities Fig 2-6 AR'!BE7</f>
        <v>0</v>
      </c>
      <c r="BF7" s="79">
        <f>'Sect. Gov Priorities Fig 2-6 AR'!BF7</f>
        <v>0</v>
      </c>
      <c r="BG7" s="79">
        <f>'Sect. Gov Priorities Fig 2-6 AR'!BG7</f>
        <v>0</v>
      </c>
      <c r="BH7" s="79">
        <f>'Sect. Gov Priorities Fig 2-6 AR'!BH7</f>
        <v>0</v>
      </c>
      <c r="BI7" s="79">
        <f>'Sect. Gov Priorities Fig 2-6 AR'!BI7</f>
        <v>0</v>
      </c>
      <c r="BJ7" s="79">
        <f>'Sect. Gov Priorities Fig 2-6 AR'!BJ7</f>
        <v>0</v>
      </c>
      <c r="BK7" s="79">
        <f>'Sect. Gov Priorities Fig 2-6 AR'!BK7</f>
        <v>0</v>
      </c>
      <c r="BL7" s="79">
        <f>'Sect. Gov Priorities Fig 2-6 AR'!BL7</f>
        <v>0</v>
      </c>
      <c r="BM7" s="79">
        <f>'Sect. Gov Priorities Fig 2-6 AR'!BM7</f>
        <v>0</v>
      </c>
      <c r="BN7" s="79">
        <f>'Sect. Gov Priorities Fig 2-6 AR'!BN7</f>
        <v>0</v>
      </c>
      <c r="BO7" s="79">
        <f>'Sect. Gov Priorities Fig 2-6 AR'!BO7</f>
        <v>0</v>
      </c>
      <c r="BP7" s="79">
        <f>'Sect. Gov Priorities Fig 2-6 AR'!BP7</f>
        <v>0</v>
      </c>
      <c r="BQ7" s="79">
        <f>'Sect. Gov Priorities Fig 2-6 AR'!BQ7</f>
        <v>0</v>
      </c>
      <c r="BR7" s="79">
        <f>'Sect. Gov Priorities Fig 2-6 AR'!BR7</f>
        <v>0</v>
      </c>
      <c r="BS7" s="79">
        <f>'Sect. Gov Priorities Fig 2-6 AR'!BS7</f>
        <v>0</v>
      </c>
      <c r="BT7" s="79">
        <f>'Sect. Gov Priorities Fig 2-6 AR'!BT7</f>
        <v>0</v>
      </c>
      <c r="BU7" s="79">
        <f>'Sect. Gov Priorities Fig 2-6 AR'!BU7</f>
        <v>0</v>
      </c>
      <c r="BV7" s="79">
        <f>'Sect. Gov Priorities Fig 2-6 AR'!BV7</f>
        <v>0</v>
      </c>
      <c r="BW7" s="79">
        <f>'Sect. Gov Priorities Fig 2-6 AR'!BW7</f>
        <v>0</v>
      </c>
      <c r="BX7" s="79">
        <f>'Sect. Gov Priorities Fig 2-6 AR'!BX7</f>
        <v>0</v>
      </c>
      <c r="BY7" s="79">
        <f>'Sect. Gov Priorities Fig 2-6 AR'!BY7</f>
        <v>0</v>
      </c>
      <c r="BZ7" s="79">
        <f>'Sect. Gov Priorities Fig 2-6 AR'!BZ7</f>
        <v>0</v>
      </c>
      <c r="CA7" s="79">
        <f>'Sect. Gov Priorities Fig 2-6 AR'!CA7</f>
        <v>0</v>
      </c>
      <c r="CB7" s="79">
        <f>'Sect. Gov Priorities Fig 2-6 AR'!CB7</f>
        <v>0</v>
      </c>
      <c r="CC7" s="79">
        <f>'Sect. Gov Priorities Fig 2-6 AR'!CC7</f>
        <v>0</v>
      </c>
      <c r="CD7" s="79">
        <f>'Sect. Gov Priorities Fig 2-6 AR'!CD7</f>
        <v>0</v>
      </c>
      <c r="CE7" s="79">
        <f>'Sect. Gov Priorities Fig 2-6 AR'!CE7</f>
        <v>0</v>
      </c>
      <c r="CF7" s="79">
        <f>'Sect. Gov Priorities Fig 2-6 AR'!CF7</f>
        <v>0</v>
      </c>
      <c r="CG7" s="79">
        <f>'Sect. Gov Priorities Fig 2-6 AR'!CG7</f>
        <v>0</v>
      </c>
      <c r="CH7" s="79">
        <f>'Sect. Gov Priorities Fig 2-6 AR'!CH7</f>
        <v>0</v>
      </c>
      <c r="CI7" s="79">
        <f>'Sect. Gov Priorities Fig 2-6 AR'!CI7</f>
        <v>0</v>
      </c>
      <c r="CJ7" s="79">
        <f>'Sect. Gov Priorities Fig 2-6 AR'!CJ7</f>
        <v>0</v>
      </c>
      <c r="CK7" s="79">
        <f>'Sect. Gov Priorities Fig 2-6 AR'!CK7</f>
        <v>0</v>
      </c>
      <c r="CL7" s="79">
        <f>'Sect. Gov Priorities Fig 2-6 AR'!CL7</f>
        <v>0</v>
      </c>
      <c r="CM7" s="79">
        <f>'Sect. Gov Priorities Fig 2-6 AR'!CM7</f>
        <v>0</v>
      </c>
      <c r="CN7" s="79">
        <f>'Sect. Gov Priorities Fig 2-6 AR'!CN7</f>
        <v>0</v>
      </c>
      <c r="CO7" s="79">
        <f>'Sect. Gov Priorities Fig 2-6 AR'!CO7</f>
        <v>0</v>
      </c>
      <c r="CP7" s="79">
        <f>'Sect. Gov Priorities Fig 2-6 AR'!CP7</f>
        <v>0</v>
      </c>
      <c r="CQ7" s="79">
        <f>'Sect. Gov Priorities Fig 2-6 AR'!CQ7</f>
        <v>0</v>
      </c>
      <c r="CR7" s="79">
        <f>'Sect. Gov Priorities Fig 2-6 AR'!CR7</f>
        <v>0</v>
      </c>
      <c r="CS7" s="79">
        <f>'Sect. Gov Priorities Fig 2-6 AR'!CS7</f>
        <v>0</v>
      </c>
      <c r="CT7" s="79">
        <f>'Sect. Gov Priorities Fig 2-6 AR'!CT7</f>
        <v>0</v>
      </c>
      <c r="CU7" s="79">
        <f>'Sect. Gov Priorities Fig 2-6 AR'!CU7</f>
        <v>0</v>
      </c>
      <c r="CV7" s="79">
        <f>'Sect. Gov Priorities Fig 2-6 AR'!CV7</f>
        <v>0</v>
      </c>
      <c r="CW7" s="79">
        <f>'Sect. Gov Priorities Fig 2-6 AR'!CW7</f>
        <v>0</v>
      </c>
      <c r="CX7" s="79">
        <f>'Sect. Gov Priorities Fig 2-6 AR'!CX7</f>
        <v>0</v>
      </c>
      <c r="CY7" s="79">
        <f>'Sect. Gov Priorities Fig 2-6 AR'!CY7</f>
        <v>0</v>
      </c>
      <c r="CZ7" s="79">
        <f>'Sect. Gov Priorities Fig 2-6 AR'!CZ7</f>
        <v>0</v>
      </c>
      <c r="DA7" s="79">
        <f>'Sect. Gov Priorities Fig 2-6 AR'!DA7</f>
        <v>0</v>
      </c>
      <c r="DB7" s="79">
        <f>'Sect. Gov Priorities Fig 2-6 AR'!DB7</f>
        <v>0</v>
      </c>
      <c r="DC7" s="79">
        <f>'Sect. Gov Priorities Fig 2-6 AR'!DC7</f>
        <v>0</v>
      </c>
      <c r="DD7" s="79">
        <f>'Sect. Gov Priorities Fig 2-6 AR'!DD7</f>
        <v>0</v>
      </c>
      <c r="DE7" s="79">
        <f>'Sect. Gov Priorities Fig 2-6 AR'!DE7</f>
        <v>0</v>
      </c>
      <c r="DF7" s="79">
        <f>'Sect. Gov Priorities Fig 2-6 AR'!DF7</f>
        <v>0</v>
      </c>
      <c r="DG7" s="79">
        <f>'Sect. Gov Priorities Fig 2-6 AR'!DG7</f>
        <v>0</v>
      </c>
      <c r="DH7" s="79">
        <f>'Sect. Gov Priorities Fig 2-6 AR'!DH7</f>
        <v>0</v>
      </c>
      <c r="DI7" s="79">
        <f>'Sect. Gov Priorities Fig 2-6 AR'!DI7</f>
        <v>0</v>
      </c>
      <c r="DJ7" s="79">
        <f>'Sect. Gov Priorities Fig 2-6 AR'!DJ7</f>
        <v>0</v>
      </c>
      <c r="DK7" s="79">
        <f>'Sect. Gov Priorities Fig 2-6 AR'!DK7</f>
        <v>0</v>
      </c>
      <c r="DL7" s="79">
        <f>'Sect. Gov Priorities Fig 2-6 AR'!DL7</f>
        <v>90.306122448979593</v>
      </c>
      <c r="DM7" s="79">
        <f>'Sect. Gov Priorities Fig 2-6 AR'!DM7</f>
        <v>100</v>
      </c>
      <c r="DN7" s="79">
        <f>'Sect. Gov Priorities Fig 2-6 AR'!DN7</f>
        <v>85</v>
      </c>
      <c r="DO7" s="79">
        <f>'Sect. Gov Priorities Fig 2-6 AR'!DO7</f>
        <v>46.682098765432094</v>
      </c>
      <c r="DP7" s="79">
        <f>'Sect. Gov Priorities Fig 2-6 AR'!DP7</f>
        <v>88.47926267281106</v>
      </c>
      <c r="DQ7" s="79">
        <f>'Sect. Gov Priorities Fig 2-6 AR'!DQ7</f>
        <v>21.818181818181817</v>
      </c>
      <c r="DR7" s="79">
        <f>'Sect. Gov Priorities Fig 2-6 AR'!DR7</f>
        <v>92.237442922374441</v>
      </c>
      <c r="DS7" s="79">
        <f>'Sect. Gov Priorities Fig 2-6 AR'!DS7</f>
        <v>100</v>
      </c>
      <c r="DT7" s="79">
        <f>'Sect. Gov Priorities Fig 2-6 AR'!DT7</f>
        <v>100</v>
      </c>
      <c r="DU7" s="79">
        <f>'Sect. Gov Priorities Fig 2-6 AR'!DU7</f>
        <v>42.187500000000007</v>
      </c>
      <c r="DV7" s="79">
        <f>'Sect. Gov Priorities Fig 2-6 AR'!DV7</f>
        <v>100</v>
      </c>
      <c r="DW7" s="79">
        <f>'Sect. Gov Priorities Fig 2-6 AR'!DW7</f>
        <v>11.76470588235294</v>
      </c>
      <c r="DX7" s="79">
        <v>100</v>
      </c>
      <c r="DY7" s="79">
        <v>100</v>
      </c>
      <c r="DZ7" s="79">
        <v>60</v>
      </c>
      <c r="EA7" s="79">
        <v>26.829268292682922</v>
      </c>
      <c r="EB7" s="79">
        <v>68.75</v>
      </c>
      <c r="EC7" s="79">
        <v>10</v>
      </c>
      <c r="ED7" s="79">
        <v>91.121495327102807</v>
      </c>
      <c r="EE7" s="79">
        <v>99.999999999999986</v>
      </c>
      <c r="EF7" s="79">
        <v>88.888888888888886</v>
      </c>
      <c r="EG7" s="79">
        <v>15.217391304347824</v>
      </c>
      <c r="EH7" s="79">
        <v>93.75</v>
      </c>
      <c r="EI7" s="79">
        <v>6.557377049180328</v>
      </c>
      <c r="EJ7" s="102">
        <v>82.882882882882896</v>
      </c>
      <c r="EK7" s="102">
        <v>75.925925925925924</v>
      </c>
      <c r="EL7" s="102">
        <v>72.5</v>
      </c>
      <c r="EM7" s="102">
        <v>83.333333333333343</v>
      </c>
      <c r="EN7" s="102">
        <v>87.5</v>
      </c>
      <c r="EO7" s="102">
        <v>5.0847457627118651</v>
      </c>
      <c r="EP7" s="102">
        <v>79</v>
      </c>
      <c r="EQ7" s="102">
        <v>89</v>
      </c>
      <c r="ER7" s="102">
        <v>60</v>
      </c>
      <c r="ES7" s="102">
        <v>73</v>
      </c>
      <c r="ET7" s="102">
        <v>75</v>
      </c>
      <c r="EU7" s="102">
        <v>0</v>
      </c>
      <c r="EV7" s="102">
        <v>91.025641025641036</v>
      </c>
      <c r="EW7" s="102">
        <v>83.928571428571416</v>
      </c>
      <c r="EX7" s="102">
        <v>90.322580645161281</v>
      </c>
      <c r="EY7" s="102">
        <v>79.166666666666657</v>
      </c>
      <c r="EZ7" s="102">
        <v>72</v>
      </c>
      <c r="FA7" s="102">
        <v>0</v>
      </c>
    </row>
    <row r="8" spans="1:157" s="80" customFormat="1" ht="16.5" x14ac:dyDescent="0.3">
      <c r="A8" s="78" t="s">
        <v>146</v>
      </c>
      <c r="B8" s="79">
        <f>'Sect. Gov Priorities Fig 2-6 AR'!B8</f>
        <v>0</v>
      </c>
      <c r="C8" s="79">
        <f>'Sect. Gov Priorities Fig 2-6 AR'!C8</f>
        <v>0</v>
      </c>
      <c r="D8" s="79">
        <f>'Sect. Gov Priorities Fig 2-6 AR'!D8</f>
        <v>0</v>
      </c>
      <c r="E8" s="79">
        <f>'Sect. Gov Priorities Fig 2-6 AR'!E8</f>
        <v>0</v>
      </c>
      <c r="F8" s="79">
        <f>'Sect. Gov Priorities Fig 2-6 AR'!F8</f>
        <v>0</v>
      </c>
      <c r="G8" s="79">
        <f>'Sect. Gov Priorities Fig 2-6 AR'!G8</f>
        <v>0</v>
      </c>
      <c r="H8" s="79">
        <f>'Sect. Gov Priorities Fig 2-6 AR'!H8</f>
        <v>0</v>
      </c>
      <c r="I8" s="79">
        <f>'Sect. Gov Priorities Fig 2-6 AR'!I8</f>
        <v>0</v>
      </c>
      <c r="J8" s="79">
        <f>'Sect. Gov Priorities Fig 2-6 AR'!J8</f>
        <v>0</v>
      </c>
      <c r="K8" s="79">
        <f>'Sect. Gov Priorities Fig 2-6 AR'!K8</f>
        <v>0</v>
      </c>
      <c r="L8" s="79">
        <f>'Sect. Gov Priorities Fig 2-6 AR'!L8</f>
        <v>0</v>
      </c>
      <c r="M8" s="79">
        <f>'Sect. Gov Priorities Fig 2-6 AR'!M8</f>
        <v>0</v>
      </c>
      <c r="N8" s="79">
        <f>'Sect. Gov Priorities Fig 2-6 AR'!N8</f>
        <v>0</v>
      </c>
      <c r="O8" s="79">
        <f>'Sect. Gov Priorities Fig 2-6 AR'!O8</f>
        <v>0</v>
      </c>
      <c r="P8" s="79">
        <f>'Sect. Gov Priorities Fig 2-6 AR'!P8</f>
        <v>0</v>
      </c>
      <c r="Q8" s="79">
        <f>'Sect. Gov Priorities Fig 2-6 AR'!Q8</f>
        <v>0</v>
      </c>
      <c r="R8" s="79">
        <f>'Sect. Gov Priorities Fig 2-6 AR'!R8</f>
        <v>0</v>
      </c>
      <c r="S8" s="79">
        <f>'Sect. Gov Priorities Fig 2-6 AR'!S8</f>
        <v>0</v>
      </c>
      <c r="T8" s="79">
        <f>'Sect. Gov Priorities Fig 2-6 AR'!T8</f>
        <v>0</v>
      </c>
      <c r="U8" s="79">
        <f>'Sect. Gov Priorities Fig 2-6 AR'!U8</f>
        <v>0</v>
      </c>
      <c r="V8" s="79">
        <f>'Sect. Gov Priorities Fig 2-6 AR'!V8</f>
        <v>0</v>
      </c>
      <c r="W8" s="79">
        <f>'Sect. Gov Priorities Fig 2-6 AR'!W8</f>
        <v>0</v>
      </c>
      <c r="X8" s="79">
        <f>'Sect. Gov Priorities Fig 2-6 AR'!X8</f>
        <v>0</v>
      </c>
      <c r="Y8" s="79">
        <f>'Sect. Gov Priorities Fig 2-6 AR'!Y8</f>
        <v>0</v>
      </c>
      <c r="Z8" s="79">
        <f>'Sect. Gov Priorities Fig 2-6 AR'!Z8</f>
        <v>0</v>
      </c>
      <c r="AA8" s="79">
        <f>'Sect. Gov Priorities Fig 2-6 AR'!AA8</f>
        <v>0</v>
      </c>
      <c r="AB8" s="79">
        <f>'Sect. Gov Priorities Fig 2-6 AR'!AB8</f>
        <v>0</v>
      </c>
      <c r="AC8" s="79">
        <f>'Sect. Gov Priorities Fig 2-6 AR'!AC8</f>
        <v>0</v>
      </c>
      <c r="AD8" s="79">
        <f>'Sect. Gov Priorities Fig 2-6 AR'!AD8</f>
        <v>0</v>
      </c>
      <c r="AE8" s="79">
        <f>'Sect. Gov Priorities Fig 2-6 AR'!AE8</f>
        <v>0</v>
      </c>
      <c r="AF8" s="79">
        <f>'Sect. Gov Priorities Fig 2-6 AR'!AF8</f>
        <v>0</v>
      </c>
      <c r="AG8" s="79">
        <f>'Sect. Gov Priorities Fig 2-6 AR'!AG8</f>
        <v>0</v>
      </c>
      <c r="AH8" s="79">
        <f>'Sect. Gov Priorities Fig 2-6 AR'!AH8</f>
        <v>0</v>
      </c>
      <c r="AI8" s="79">
        <f>'Sect. Gov Priorities Fig 2-6 AR'!AI8</f>
        <v>0</v>
      </c>
      <c r="AJ8" s="79">
        <f>'Sect. Gov Priorities Fig 2-6 AR'!AJ8</f>
        <v>0</v>
      </c>
      <c r="AK8" s="79">
        <f>'Sect. Gov Priorities Fig 2-6 AR'!AK8</f>
        <v>0</v>
      </c>
      <c r="AL8" s="79">
        <f>'Sect. Gov Priorities Fig 2-6 AR'!AL8</f>
        <v>0</v>
      </c>
      <c r="AM8" s="79">
        <f>'Sect. Gov Priorities Fig 2-6 AR'!AM8</f>
        <v>0</v>
      </c>
      <c r="AN8" s="79">
        <f>'Sect. Gov Priorities Fig 2-6 AR'!AN8</f>
        <v>0</v>
      </c>
      <c r="AO8" s="79">
        <f>'Sect. Gov Priorities Fig 2-6 AR'!AO8</f>
        <v>0</v>
      </c>
      <c r="AP8" s="79">
        <f>'Sect. Gov Priorities Fig 2-6 AR'!AP8</f>
        <v>0</v>
      </c>
      <c r="AQ8" s="79">
        <f>'Sect. Gov Priorities Fig 2-6 AR'!AQ8</f>
        <v>0</v>
      </c>
      <c r="AR8" s="79">
        <f>'Sect. Gov Priorities Fig 2-6 AR'!AR8</f>
        <v>0</v>
      </c>
      <c r="AS8" s="79">
        <f>'Sect. Gov Priorities Fig 2-6 AR'!AS8</f>
        <v>0</v>
      </c>
      <c r="AT8" s="79">
        <f>'Sect. Gov Priorities Fig 2-6 AR'!AT8</f>
        <v>0</v>
      </c>
      <c r="AU8" s="79">
        <f>'Sect. Gov Priorities Fig 2-6 AR'!AU8</f>
        <v>0</v>
      </c>
      <c r="AV8" s="79">
        <f>'Sect. Gov Priorities Fig 2-6 AR'!AV8</f>
        <v>0</v>
      </c>
      <c r="AW8" s="79">
        <f>'Sect. Gov Priorities Fig 2-6 AR'!AW8</f>
        <v>0</v>
      </c>
      <c r="AX8" s="79">
        <f>'Sect. Gov Priorities Fig 2-6 AR'!AX8</f>
        <v>0</v>
      </c>
      <c r="AY8" s="79">
        <f>'Sect. Gov Priorities Fig 2-6 AR'!AY8</f>
        <v>0</v>
      </c>
      <c r="AZ8" s="79">
        <f>'Sect. Gov Priorities Fig 2-6 AR'!AZ8</f>
        <v>0</v>
      </c>
      <c r="BA8" s="79">
        <f>'Sect. Gov Priorities Fig 2-6 AR'!BA8</f>
        <v>0</v>
      </c>
      <c r="BB8" s="79">
        <f>'Sect. Gov Priorities Fig 2-6 AR'!BB8</f>
        <v>0</v>
      </c>
      <c r="BC8" s="79">
        <f>'Sect. Gov Priorities Fig 2-6 AR'!BC8</f>
        <v>0</v>
      </c>
      <c r="BD8" s="79">
        <f>'Sect. Gov Priorities Fig 2-6 AR'!BD8</f>
        <v>0</v>
      </c>
      <c r="BE8" s="79">
        <f>'Sect. Gov Priorities Fig 2-6 AR'!BE8</f>
        <v>0</v>
      </c>
      <c r="BF8" s="79">
        <f>'Sect. Gov Priorities Fig 2-6 AR'!BF8</f>
        <v>0</v>
      </c>
      <c r="BG8" s="79">
        <f>'Sect. Gov Priorities Fig 2-6 AR'!BG8</f>
        <v>0</v>
      </c>
      <c r="BH8" s="79">
        <f>'Sect. Gov Priorities Fig 2-6 AR'!BH8</f>
        <v>0</v>
      </c>
      <c r="BI8" s="79">
        <f>'Sect. Gov Priorities Fig 2-6 AR'!BI8</f>
        <v>0</v>
      </c>
      <c r="BJ8" s="79">
        <f>'Sect. Gov Priorities Fig 2-6 AR'!BJ8</f>
        <v>0</v>
      </c>
      <c r="BK8" s="79">
        <f>'Sect. Gov Priorities Fig 2-6 AR'!BK8</f>
        <v>0</v>
      </c>
      <c r="BL8" s="79">
        <f>'Sect. Gov Priorities Fig 2-6 AR'!BL8</f>
        <v>0</v>
      </c>
      <c r="BM8" s="79">
        <f>'Sect. Gov Priorities Fig 2-6 AR'!BM8</f>
        <v>0</v>
      </c>
      <c r="BN8" s="79">
        <f>'Sect. Gov Priorities Fig 2-6 AR'!BN8</f>
        <v>0</v>
      </c>
      <c r="BO8" s="79">
        <f>'Sect. Gov Priorities Fig 2-6 AR'!BO8</f>
        <v>0</v>
      </c>
      <c r="BP8" s="79">
        <f>'Sect. Gov Priorities Fig 2-6 AR'!BP8</f>
        <v>0</v>
      </c>
      <c r="BQ8" s="79">
        <f>'Sect. Gov Priorities Fig 2-6 AR'!BQ8</f>
        <v>0</v>
      </c>
      <c r="BR8" s="79">
        <f>'Sect. Gov Priorities Fig 2-6 AR'!BR8</f>
        <v>0</v>
      </c>
      <c r="BS8" s="79">
        <f>'Sect. Gov Priorities Fig 2-6 AR'!BS8</f>
        <v>0</v>
      </c>
      <c r="BT8" s="79">
        <f>'Sect. Gov Priorities Fig 2-6 AR'!BT8</f>
        <v>0</v>
      </c>
      <c r="BU8" s="79">
        <f>'Sect. Gov Priorities Fig 2-6 AR'!BU8</f>
        <v>0</v>
      </c>
      <c r="BV8" s="79">
        <f>'Sect. Gov Priorities Fig 2-6 AR'!BV8</f>
        <v>0</v>
      </c>
      <c r="BW8" s="79">
        <f>'Sect. Gov Priorities Fig 2-6 AR'!BW8</f>
        <v>0</v>
      </c>
      <c r="BX8" s="79">
        <f>'Sect. Gov Priorities Fig 2-6 AR'!BX8</f>
        <v>0</v>
      </c>
      <c r="BY8" s="79">
        <f>'Sect. Gov Priorities Fig 2-6 AR'!BY8</f>
        <v>0</v>
      </c>
      <c r="BZ8" s="79">
        <f>'Sect. Gov Priorities Fig 2-6 AR'!BZ8</f>
        <v>0</v>
      </c>
      <c r="CA8" s="79">
        <f>'Sect. Gov Priorities Fig 2-6 AR'!CA8</f>
        <v>0</v>
      </c>
      <c r="CB8" s="79">
        <f>'Sect. Gov Priorities Fig 2-6 AR'!CB8</f>
        <v>0</v>
      </c>
      <c r="CC8" s="79">
        <f>'Sect. Gov Priorities Fig 2-6 AR'!CC8</f>
        <v>0</v>
      </c>
      <c r="CD8" s="79">
        <f>'Sect. Gov Priorities Fig 2-6 AR'!CD8</f>
        <v>0</v>
      </c>
      <c r="CE8" s="79">
        <f>'Sect. Gov Priorities Fig 2-6 AR'!CE8</f>
        <v>0</v>
      </c>
      <c r="CF8" s="79">
        <f>'Sect. Gov Priorities Fig 2-6 AR'!CF8</f>
        <v>0</v>
      </c>
      <c r="CG8" s="79">
        <f>'Sect. Gov Priorities Fig 2-6 AR'!CG8</f>
        <v>0</v>
      </c>
      <c r="CH8" s="79">
        <f>'Sect. Gov Priorities Fig 2-6 AR'!CH8</f>
        <v>0</v>
      </c>
      <c r="CI8" s="79">
        <f>'Sect. Gov Priorities Fig 2-6 AR'!CI8</f>
        <v>0</v>
      </c>
      <c r="CJ8" s="79">
        <f>'Sect. Gov Priorities Fig 2-6 AR'!CJ8</f>
        <v>0</v>
      </c>
      <c r="CK8" s="79">
        <f>'Sect. Gov Priorities Fig 2-6 AR'!CK8</f>
        <v>0</v>
      </c>
      <c r="CL8" s="79">
        <f>'Sect. Gov Priorities Fig 2-6 AR'!CL8</f>
        <v>0</v>
      </c>
      <c r="CM8" s="79">
        <f>'Sect. Gov Priorities Fig 2-6 AR'!CM8</f>
        <v>0</v>
      </c>
      <c r="CN8" s="79">
        <f>'Sect. Gov Priorities Fig 2-6 AR'!CN8</f>
        <v>0</v>
      </c>
      <c r="CO8" s="79">
        <f>'Sect. Gov Priorities Fig 2-6 AR'!CO8</f>
        <v>0</v>
      </c>
      <c r="CP8" s="79">
        <f>'Sect. Gov Priorities Fig 2-6 AR'!CP8</f>
        <v>0</v>
      </c>
      <c r="CQ8" s="79">
        <f>'Sect. Gov Priorities Fig 2-6 AR'!CQ8</f>
        <v>0</v>
      </c>
      <c r="CR8" s="79">
        <f>'Sect. Gov Priorities Fig 2-6 AR'!CR8</f>
        <v>0</v>
      </c>
      <c r="CS8" s="79">
        <f>'Sect. Gov Priorities Fig 2-6 AR'!CS8</f>
        <v>0</v>
      </c>
      <c r="CT8" s="79">
        <f>'Sect. Gov Priorities Fig 2-6 AR'!CT8</f>
        <v>0</v>
      </c>
      <c r="CU8" s="79">
        <f>'Sect. Gov Priorities Fig 2-6 AR'!CU8</f>
        <v>0</v>
      </c>
      <c r="CV8" s="79">
        <f>'Sect. Gov Priorities Fig 2-6 AR'!CV8</f>
        <v>0</v>
      </c>
      <c r="CW8" s="79">
        <f>'Sect. Gov Priorities Fig 2-6 AR'!CW8</f>
        <v>0</v>
      </c>
      <c r="CX8" s="79">
        <f>'Sect. Gov Priorities Fig 2-6 AR'!CX8</f>
        <v>0</v>
      </c>
      <c r="CY8" s="79">
        <f>'Sect. Gov Priorities Fig 2-6 AR'!CY8</f>
        <v>0</v>
      </c>
      <c r="CZ8" s="79">
        <f>'Sect. Gov Priorities Fig 2-6 AR'!CZ8</f>
        <v>0</v>
      </c>
      <c r="DA8" s="79">
        <f>'Sect. Gov Priorities Fig 2-6 AR'!DA8</f>
        <v>0</v>
      </c>
      <c r="DB8" s="79">
        <f>'Sect. Gov Priorities Fig 2-6 AR'!DB8</f>
        <v>0</v>
      </c>
      <c r="DC8" s="79">
        <f>'Sect. Gov Priorities Fig 2-6 AR'!DC8</f>
        <v>0</v>
      </c>
      <c r="DD8" s="79">
        <f>'Sect. Gov Priorities Fig 2-6 AR'!DD8</f>
        <v>0</v>
      </c>
      <c r="DE8" s="79">
        <f>'Sect. Gov Priorities Fig 2-6 AR'!DE8</f>
        <v>0</v>
      </c>
      <c r="DF8" s="79">
        <f>'Sect. Gov Priorities Fig 2-6 AR'!DF8</f>
        <v>0</v>
      </c>
      <c r="DG8" s="79">
        <f>'Sect. Gov Priorities Fig 2-6 AR'!DG8</f>
        <v>0</v>
      </c>
      <c r="DH8" s="79">
        <f>'Sect. Gov Priorities Fig 2-6 AR'!DH8</f>
        <v>0</v>
      </c>
      <c r="DI8" s="79">
        <f>'Sect. Gov Priorities Fig 2-6 AR'!DI8</f>
        <v>0</v>
      </c>
      <c r="DJ8" s="79">
        <f>'Sect. Gov Priorities Fig 2-6 AR'!DJ8</f>
        <v>0</v>
      </c>
      <c r="DK8" s="79">
        <f>'Sect. Gov Priorities Fig 2-6 AR'!DK8</f>
        <v>0</v>
      </c>
      <c r="DL8" s="79">
        <f>'Sect. Gov Priorities Fig 2-6 AR'!DL8</f>
        <v>82.312729745733392</v>
      </c>
      <c r="DM8" s="79">
        <f>'Sect. Gov Priorities Fig 2-6 AR'!DM8</f>
        <v>91.666666666666671</v>
      </c>
      <c r="DN8" s="79">
        <f>'Sect. Gov Priorities Fig 2-6 AR'!DN8</f>
        <v>37.5</v>
      </c>
      <c r="DO8" s="79">
        <f>'Sect. Gov Priorities Fig 2-6 AR'!DO8</f>
        <v>11.111111111111112</v>
      </c>
      <c r="DP8" s="79">
        <f>'Sect. Gov Priorities Fig 2-6 AR'!DP8</f>
        <v>74.193548387096769</v>
      </c>
      <c r="DQ8" s="79">
        <f>'Sect. Gov Priorities Fig 2-6 AR'!DQ8</f>
        <v>69.090909090909093</v>
      </c>
      <c r="DR8" s="79">
        <f>'Sect. Gov Priorities Fig 2-6 AR'!DR8</f>
        <v>78.538812785388131</v>
      </c>
      <c r="DS8" s="79">
        <f>'Sect. Gov Priorities Fig 2-6 AR'!DS8</f>
        <v>80.701754385964904</v>
      </c>
      <c r="DT8" s="79">
        <f>'Sect. Gov Priorities Fig 2-6 AR'!DT8</f>
        <v>0</v>
      </c>
      <c r="DU8" s="79">
        <f>'Sect. Gov Priorities Fig 2-6 AR'!DU8</f>
        <v>51.5625</v>
      </c>
      <c r="DV8" s="79">
        <f>'Sect. Gov Priorities Fig 2-6 AR'!DV8</f>
        <v>0</v>
      </c>
      <c r="DW8" s="79">
        <f>'Sect. Gov Priorities Fig 2-6 AR'!DW8</f>
        <v>69.117647058823522</v>
      </c>
      <c r="DX8" s="79">
        <v>79.812206572769966</v>
      </c>
      <c r="DY8" s="79">
        <v>88.8888888888889</v>
      </c>
      <c r="DZ8" s="79">
        <v>10</v>
      </c>
      <c r="EA8" s="79">
        <v>68.292682926829258</v>
      </c>
      <c r="EB8" s="79">
        <v>9.375</v>
      </c>
      <c r="EC8" s="79">
        <v>100</v>
      </c>
      <c r="ED8" s="79">
        <v>73.36448598130842</v>
      </c>
      <c r="EE8" s="79">
        <v>96.296296296296305</v>
      </c>
      <c r="EF8" s="79">
        <v>0</v>
      </c>
      <c r="EG8" s="79">
        <v>52.173913043478258</v>
      </c>
      <c r="EH8" s="79">
        <v>18.75</v>
      </c>
      <c r="EI8" s="79">
        <v>83.606557377049185</v>
      </c>
      <c r="EJ8" s="102">
        <v>86.936936936936931</v>
      </c>
      <c r="EK8" s="102">
        <v>96.296296296296305</v>
      </c>
      <c r="EL8" s="102">
        <v>40</v>
      </c>
      <c r="EM8" s="102">
        <v>64.583333333333343</v>
      </c>
      <c r="EN8" s="102">
        <v>56.25</v>
      </c>
      <c r="EO8" s="102">
        <v>96.610169491525426</v>
      </c>
      <c r="EP8" s="102">
        <v>87</v>
      </c>
      <c r="EQ8" s="102">
        <v>79</v>
      </c>
      <c r="ER8" s="102">
        <v>5</v>
      </c>
      <c r="ES8" s="102">
        <v>76</v>
      </c>
      <c r="ET8" s="102">
        <v>34</v>
      </c>
      <c r="EU8" s="102">
        <v>95</v>
      </c>
      <c r="EV8" s="102">
        <v>89.316239316239304</v>
      </c>
      <c r="EW8" s="102">
        <v>94.642857142857125</v>
      </c>
      <c r="EX8" s="102">
        <v>19.35483870967742</v>
      </c>
      <c r="EY8" s="102">
        <v>83.333333333333343</v>
      </c>
      <c r="EZ8" s="102">
        <v>28.000000000000004</v>
      </c>
      <c r="FA8" s="102">
        <v>100</v>
      </c>
    </row>
    <row r="9" spans="1:157" s="80" customFormat="1" ht="16.5" x14ac:dyDescent="0.3">
      <c r="A9" s="78" t="s">
        <v>148</v>
      </c>
      <c r="B9" s="79">
        <f>'Sect. Gov Priorities Fig 2-6 AR'!B9</f>
        <v>0</v>
      </c>
      <c r="C9" s="79">
        <f>'Sect. Gov Priorities Fig 2-6 AR'!C9</f>
        <v>0</v>
      </c>
      <c r="D9" s="79">
        <f>'Sect. Gov Priorities Fig 2-6 AR'!D9</f>
        <v>0</v>
      </c>
      <c r="E9" s="79">
        <f>'Sect. Gov Priorities Fig 2-6 AR'!E9</f>
        <v>0</v>
      </c>
      <c r="F9" s="79">
        <f>'Sect. Gov Priorities Fig 2-6 AR'!F9</f>
        <v>0</v>
      </c>
      <c r="G9" s="79">
        <f>'Sect. Gov Priorities Fig 2-6 AR'!G9</f>
        <v>0</v>
      </c>
      <c r="H9" s="79">
        <f>'Sect. Gov Priorities Fig 2-6 AR'!H9</f>
        <v>0</v>
      </c>
      <c r="I9" s="79">
        <f>'Sect. Gov Priorities Fig 2-6 AR'!I9</f>
        <v>0</v>
      </c>
      <c r="J9" s="79">
        <f>'Sect. Gov Priorities Fig 2-6 AR'!J9</f>
        <v>0</v>
      </c>
      <c r="K9" s="79">
        <f>'Sect. Gov Priorities Fig 2-6 AR'!K9</f>
        <v>0</v>
      </c>
      <c r="L9" s="79">
        <f>'Sect. Gov Priorities Fig 2-6 AR'!L9</f>
        <v>0</v>
      </c>
      <c r="M9" s="79">
        <f>'Sect. Gov Priorities Fig 2-6 AR'!M9</f>
        <v>0</v>
      </c>
      <c r="N9" s="79">
        <f>'Sect. Gov Priorities Fig 2-6 AR'!N9</f>
        <v>0</v>
      </c>
      <c r="O9" s="79">
        <f>'Sect. Gov Priorities Fig 2-6 AR'!O9</f>
        <v>0</v>
      </c>
      <c r="P9" s="79">
        <f>'Sect. Gov Priorities Fig 2-6 AR'!P9</f>
        <v>0</v>
      </c>
      <c r="Q9" s="79">
        <f>'Sect. Gov Priorities Fig 2-6 AR'!Q9</f>
        <v>0</v>
      </c>
      <c r="R9" s="79">
        <f>'Sect. Gov Priorities Fig 2-6 AR'!R9</f>
        <v>0</v>
      </c>
      <c r="S9" s="79">
        <f>'Sect. Gov Priorities Fig 2-6 AR'!S9</f>
        <v>0</v>
      </c>
      <c r="T9" s="79">
        <f>'Sect. Gov Priorities Fig 2-6 AR'!T9</f>
        <v>0</v>
      </c>
      <c r="U9" s="79">
        <f>'Sect. Gov Priorities Fig 2-6 AR'!U9</f>
        <v>0</v>
      </c>
      <c r="V9" s="79">
        <f>'Sect. Gov Priorities Fig 2-6 AR'!V9</f>
        <v>0</v>
      </c>
      <c r="W9" s="79">
        <f>'Sect. Gov Priorities Fig 2-6 AR'!W9</f>
        <v>0</v>
      </c>
      <c r="X9" s="79">
        <f>'Sect. Gov Priorities Fig 2-6 AR'!X9</f>
        <v>0</v>
      </c>
      <c r="Y9" s="79">
        <f>'Sect. Gov Priorities Fig 2-6 AR'!Y9</f>
        <v>0</v>
      </c>
      <c r="Z9" s="79">
        <f>'Sect. Gov Priorities Fig 2-6 AR'!Z9</f>
        <v>0</v>
      </c>
      <c r="AA9" s="79">
        <f>'Sect. Gov Priorities Fig 2-6 AR'!AA9</f>
        <v>0</v>
      </c>
      <c r="AB9" s="79">
        <f>'Sect. Gov Priorities Fig 2-6 AR'!AB9</f>
        <v>0</v>
      </c>
      <c r="AC9" s="79">
        <f>'Sect. Gov Priorities Fig 2-6 AR'!AC9</f>
        <v>0</v>
      </c>
      <c r="AD9" s="79">
        <f>'Sect. Gov Priorities Fig 2-6 AR'!AD9</f>
        <v>0</v>
      </c>
      <c r="AE9" s="79">
        <f>'Sect. Gov Priorities Fig 2-6 AR'!AE9</f>
        <v>0</v>
      </c>
      <c r="AF9" s="79">
        <f>'Sect. Gov Priorities Fig 2-6 AR'!AF9</f>
        <v>0</v>
      </c>
      <c r="AG9" s="79">
        <f>'Sect. Gov Priorities Fig 2-6 AR'!AG9</f>
        <v>0</v>
      </c>
      <c r="AH9" s="79">
        <f>'Sect. Gov Priorities Fig 2-6 AR'!AH9</f>
        <v>0</v>
      </c>
      <c r="AI9" s="79">
        <f>'Sect. Gov Priorities Fig 2-6 AR'!AI9</f>
        <v>0</v>
      </c>
      <c r="AJ9" s="79">
        <f>'Sect. Gov Priorities Fig 2-6 AR'!AJ9</f>
        <v>0</v>
      </c>
      <c r="AK9" s="79">
        <f>'Sect. Gov Priorities Fig 2-6 AR'!AK9</f>
        <v>0</v>
      </c>
      <c r="AL9" s="79">
        <f>'Sect. Gov Priorities Fig 2-6 AR'!AL9</f>
        <v>0</v>
      </c>
      <c r="AM9" s="79">
        <f>'Sect. Gov Priorities Fig 2-6 AR'!AM9</f>
        <v>0</v>
      </c>
      <c r="AN9" s="79">
        <f>'Sect. Gov Priorities Fig 2-6 AR'!AN9</f>
        <v>0</v>
      </c>
      <c r="AO9" s="79">
        <f>'Sect. Gov Priorities Fig 2-6 AR'!AO9</f>
        <v>0</v>
      </c>
      <c r="AP9" s="79">
        <f>'Sect. Gov Priorities Fig 2-6 AR'!AP9</f>
        <v>0</v>
      </c>
      <c r="AQ9" s="79">
        <f>'Sect. Gov Priorities Fig 2-6 AR'!AQ9</f>
        <v>0</v>
      </c>
      <c r="AR9" s="79">
        <f>'Sect. Gov Priorities Fig 2-6 AR'!AR9</f>
        <v>0</v>
      </c>
      <c r="AS9" s="79">
        <f>'Sect. Gov Priorities Fig 2-6 AR'!AS9</f>
        <v>0</v>
      </c>
      <c r="AT9" s="79">
        <f>'Sect. Gov Priorities Fig 2-6 AR'!AT9</f>
        <v>0</v>
      </c>
      <c r="AU9" s="79">
        <f>'Sect. Gov Priorities Fig 2-6 AR'!AU9</f>
        <v>0</v>
      </c>
      <c r="AV9" s="79">
        <f>'Sect. Gov Priorities Fig 2-6 AR'!AV9</f>
        <v>0</v>
      </c>
      <c r="AW9" s="79">
        <f>'Sect. Gov Priorities Fig 2-6 AR'!AW9</f>
        <v>0</v>
      </c>
      <c r="AX9" s="79">
        <f>'Sect. Gov Priorities Fig 2-6 AR'!AX9</f>
        <v>0</v>
      </c>
      <c r="AY9" s="79">
        <f>'Sect. Gov Priorities Fig 2-6 AR'!AY9</f>
        <v>0</v>
      </c>
      <c r="AZ9" s="79">
        <f>'Sect. Gov Priorities Fig 2-6 AR'!AZ9</f>
        <v>0</v>
      </c>
      <c r="BA9" s="79">
        <f>'Sect. Gov Priorities Fig 2-6 AR'!BA9</f>
        <v>0</v>
      </c>
      <c r="BB9" s="79">
        <f>'Sect. Gov Priorities Fig 2-6 AR'!BB9</f>
        <v>0</v>
      </c>
      <c r="BC9" s="79">
        <f>'Sect. Gov Priorities Fig 2-6 AR'!BC9</f>
        <v>0</v>
      </c>
      <c r="BD9" s="79">
        <f>'Sect. Gov Priorities Fig 2-6 AR'!BD9</f>
        <v>0</v>
      </c>
      <c r="BE9" s="79">
        <f>'Sect. Gov Priorities Fig 2-6 AR'!BE9</f>
        <v>0</v>
      </c>
      <c r="BF9" s="79">
        <f>'Sect. Gov Priorities Fig 2-6 AR'!BF9</f>
        <v>0</v>
      </c>
      <c r="BG9" s="79">
        <f>'Sect. Gov Priorities Fig 2-6 AR'!BG9</f>
        <v>0</v>
      </c>
      <c r="BH9" s="79">
        <f>'Sect. Gov Priorities Fig 2-6 AR'!BH9</f>
        <v>0</v>
      </c>
      <c r="BI9" s="79">
        <f>'Sect. Gov Priorities Fig 2-6 AR'!BI9</f>
        <v>0</v>
      </c>
      <c r="BJ9" s="79">
        <f>'Sect. Gov Priorities Fig 2-6 AR'!BJ9</f>
        <v>0</v>
      </c>
      <c r="BK9" s="79">
        <f>'Sect. Gov Priorities Fig 2-6 AR'!BK9</f>
        <v>0</v>
      </c>
      <c r="BL9" s="79">
        <f>'Sect. Gov Priorities Fig 2-6 AR'!BL9</f>
        <v>0</v>
      </c>
      <c r="BM9" s="79">
        <f>'Sect. Gov Priorities Fig 2-6 AR'!BM9</f>
        <v>0</v>
      </c>
      <c r="BN9" s="79">
        <f>'Sect. Gov Priorities Fig 2-6 AR'!BN9</f>
        <v>0</v>
      </c>
      <c r="BO9" s="79">
        <f>'Sect. Gov Priorities Fig 2-6 AR'!BO9</f>
        <v>0</v>
      </c>
      <c r="BP9" s="79">
        <f>'Sect. Gov Priorities Fig 2-6 AR'!BP9</f>
        <v>0</v>
      </c>
      <c r="BQ9" s="79">
        <f>'Sect. Gov Priorities Fig 2-6 AR'!BQ9</f>
        <v>0</v>
      </c>
      <c r="BR9" s="79">
        <f>'Sect. Gov Priorities Fig 2-6 AR'!BR9</f>
        <v>0</v>
      </c>
      <c r="BS9" s="79">
        <f>'Sect. Gov Priorities Fig 2-6 AR'!BS9</f>
        <v>0</v>
      </c>
      <c r="BT9" s="79">
        <f>'Sect. Gov Priorities Fig 2-6 AR'!BT9</f>
        <v>0</v>
      </c>
      <c r="BU9" s="79">
        <f>'Sect. Gov Priorities Fig 2-6 AR'!BU9</f>
        <v>0</v>
      </c>
      <c r="BV9" s="79">
        <f>'Sect. Gov Priorities Fig 2-6 AR'!BV9</f>
        <v>0</v>
      </c>
      <c r="BW9" s="79">
        <f>'Sect. Gov Priorities Fig 2-6 AR'!BW9</f>
        <v>0</v>
      </c>
      <c r="BX9" s="79">
        <f>'Sect. Gov Priorities Fig 2-6 AR'!BX9</f>
        <v>0</v>
      </c>
      <c r="BY9" s="79">
        <f>'Sect. Gov Priorities Fig 2-6 AR'!BY9</f>
        <v>0</v>
      </c>
      <c r="BZ9" s="79">
        <f>'Sect. Gov Priorities Fig 2-6 AR'!BZ9</f>
        <v>0</v>
      </c>
      <c r="CA9" s="79">
        <f>'Sect. Gov Priorities Fig 2-6 AR'!CA9</f>
        <v>0</v>
      </c>
      <c r="CB9" s="79">
        <f>'Sect. Gov Priorities Fig 2-6 AR'!CB9</f>
        <v>0</v>
      </c>
      <c r="CC9" s="79">
        <f>'Sect. Gov Priorities Fig 2-6 AR'!CC9</f>
        <v>0</v>
      </c>
      <c r="CD9" s="79">
        <f>'Sect. Gov Priorities Fig 2-6 AR'!CD9</f>
        <v>0</v>
      </c>
      <c r="CE9" s="79">
        <f>'Sect. Gov Priorities Fig 2-6 AR'!CE9</f>
        <v>0</v>
      </c>
      <c r="CF9" s="79">
        <f>'Sect. Gov Priorities Fig 2-6 AR'!CF9</f>
        <v>0</v>
      </c>
      <c r="CG9" s="79">
        <f>'Sect. Gov Priorities Fig 2-6 AR'!CG9</f>
        <v>0</v>
      </c>
      <c r="CH9" s="79">
        <f>'Sect. Gov Priorities Fig 2-6 AR'!CH9</f>
        <v>0</v>
      </c>
      <c r="CI9" s="79">
        <f>'Sect. Gov Priorities Fig 2-6 AR'!CI9</f>
        <v>0</v>
      </c>
      <c r="CJ9" s="79">
        <f>'Sect. Gov Priorities Fig 2-6 AR'!CJ9</f>
        <v>0</v>
      </c>
      <c r="CK9" s="79">
        <f>'Sect. Gov Priorities Fig 2-6 AR'!CK9</f>
        <v>0</v>
      </c>
      <c r="CL9" s="79">
        <f>'Sect. Gov Priorities Fig 2-6 AR'!CL9</f>
        <v>0</v>
      </c>
      <c r="CM9" s="79">
        <f>'Sect. Gov Priorities Fig 2-6 AR'!CM9</f>
        <v>0</v>
      </c>
      <c r="CN9" s="79">
        <f>'Sect. Gov Priorities Fig 2-6 AR'!CN9</f>
        <v>0</v>
      </c>
      <c r="CO9" s="79">
        <f>'Sect. Gov Priorities Fig 2-6 AR'!CO9</f>
        <v>0</v>
      </c>
      <c r="CP9" s="79">
        <f>'Sect. Gov Priorities Fig 2-6 AR'!CP9</f>
        <v>0</v>
      </c>
      <c r="CQ9" s="79">
        <f>'Sect. Gov Priorities Fig 2-6 AR'!CQ9</f>
        <v>0</v>
      </c>
      <c r="CR9" s="79">
        <f>'Sect. Gov Priorities Fig 2-6 AR'!CR9</f>
        <v>0</v>
      </c>
      <c r="CS9" s="79">
        <f>'Sect. Gov Priorities Fig 2-6 AR'!CS9</f>
        <v>0</v>
      </c>
      <c r="CT9" s="79">
        <f>'Sect. Gov Priorities Fig 2-6 AR'!CT9</f>
        <v>0</v>
      </c>
      <c r="CU9" s="79">
        <f>'Sect. Gov Priorities Fig 2-6 AR'!CU9</f>
        <v>0</v>
      </c>
      <c r="CV9" s="79">
        <f>'Sect. Gov Priorities Fig 2-6 AR'!CV9</f>
        <v>0</v>
      </c>
      <c r="CW9" s="79">
        <f>'Sect. Gov Priorities Fig 2-6 AR'!CW9</f>
        <v>0</v>
      </c>
      <c r="CX9" s="79">
        <f>'Sect. Gov Priorities Fig 2-6 AR'!CX9</f>
        <v>0</v>
      </c>
      <c r="CY9" s="79">
        <f>'Sect. Gov Priorities Fig 2-6 AR'!CY9</f>
        <v>0</v>
      </c>
      <c r="CZ9" s="79">
        <f>'Sect. Gov Priorities Fig 2-6 AR'!CZ9</f>
        <v>0</v>
      </c>
      <c r="DA9" s="79">
        <f>'Sect. Gov Priorities Fig 2-6 AR'!DA9</f>
        <v>0</v>
      </c>
      <c r="DB9" s="79">
        <f>'Sect. Gov Priorities Fig 2-6 AR'!DB9</f>
        <v>0</v>
      </c>
      <c r="DC9" s="79">
        <f>'Sect. Gov Priorities Fig 2-6 AR'!DC9</f>
        <v>0</v>
      </c>
      <c r="DD9" s="79">
        <f>'Sect. Gov Priorities Fig 2-6 AR'!DD9</f>
        <v>0</v>
      </c>
      <c r="DE9" s="79">
        <f>'Sect. Gov Priorities Fig 2-6 AR'!DE9</f>
        <v>0</v>
      </c>
      <c r="DF9" s="79">
        <f>'Sect. Gov Priorities Fig 2-6 AR'!DF9</f>
        <v>0</v>
      </c>
      <c r="DG9" s="79">
        <f>'Sect. Gov Priorities Fig 2-6 AR'!DG9</f>
        <v>0</v>
      </c>
      <c r="DH9" s="79">
        <f>'Sect. Gov Priorities Fig 2-6 AR'!DH9</f>
        <v>0</v>
      </c>
      <c r="DI9" s="79">
        <f>'Sect. Gov Priorities Fig 2-6 AR'!DI9</f>
        <v>0</v>
      </c>
      <c r="DJ9" s="79">
        <f>'Sect. Gov Priorities Fig 2-6 AR'!DJ9</f>
        <v>0</v>
      </c>
      <c r="DK9" s="79">
        <f>'Sect. Gov Priorities Fig 2-6 AR'!DK9</f>
        <v>0</v>
      </c>
      <c r="DL9" s="79">
        <f>'Sect. Gov Priorities Fig 2-6 AR'!DL9</f>
        <v>78.091564117747069</v>
      </c>
      <c r="DM9" s="79">
        <f>'Sect. Gov Priorities Fig 2-6 AR'!DM9</f>
        <v>97.916666666666657</v>
      </c>
      <c r="DN9" s="79">
        <f>'Sect. Gov Priorities Fig 2-6 AR'!DN9</f>
        <v>55.000000000000007</v>
      </c>
      <c r="DO9" s="79">
        <f>'Sect. Gov Priorities Fig 2-6 AR'!DO9</f>
        <v>46.682098765432102</v>
      </c>
      <c r="DP9" s="79">
        <f>'Sect. Gov Priorities Fig 2-6 AR'!DP9</f>
        <v>46.346280447662942</v>
      </c>
      <c r="DQ9" s="79">
        <f>'Sect. Gov Priorities Fig 2-6 AR'!DQ9</f>
        <v>21.818181818181817</v>
      </c>
      <c r="DR9" s="79">
        <f>'Sect. Gov Priorities Fig 2-6 AR'!DR9</f>
        <v>71.232876712328761</v>
      </c>
      <c r="DS9" s="79">
        <f>'Sect. Gov Priorities Fig 2-6 AR'!DS9</f>
        <v>82.45614035087722</v>
      </c>
      <c r="DT9" s="79">
        <f>'Sect. Gov Priorities Fig 2-6 AR'!DT9</f>
        <v>60</v>
      </c>
      <c r="DU9" s="79">
        <f>'Sect. Gov Priorities Fig 2-6 AR'!DU9</f>
        <v>46.875</v>
      </c>
      <c r="DV9" s="79">
        <f>'Sect. Gov Priorities Fig 2-6 AR'!DV9</f>
        <v>50</v>
      </c>
      <c r="DW9" s="79">
        <f>'Sect. Gov Priorities Fig 2-6 AR'!DW9</f>
        <v>79.411764705882348</v>
      </c>
      <c r="DX9" s="79">
        <v>48.356807511737074</v>
      </c>
      <c r="DY9" s="79">
        <v>61.111111111111114</v>
      </c>
      <c r="DZ9" s="79">
        <v>67.5</v>
      </c>
      <c r="EA9" s="79">
        <v>0</v>
      </c>
      <c r="EB9" s="79">
        <v>50</v>
      </c>
      <c r="EC9" s="79">
        <v>85</v>
      </c>
      <c r="ED9" s="79">
        <v>54.205607476635507</v>
      </c>
      <c r="EE9" s="79">
        <v>83.333333333333343</v>
      </c>
      <c r="EF9" s="79">
        <v>44.444444444444443</v>
      </c>
      <c r="EG9" s="79">
        <v>15.217391304347824</v>
      </c>
      <c r="EH9" s="79">
        <v>34.375</v>
      </c>
      <c r="EI9" s="79">
        <v>88.52459016393442</v>
      </c>
      <c r="EJ9" s="102">
        <v>61.7117117117117</v>
      </c>
      <c r="EK9" s="102">
        <v>64.81481481481481</v>
      </c>
      <c r="EL9" s="102">
        <v>60</v>
      </c>
      <c r="EM9" s="102">
        <v>54.16666666666665</v>
      </c>
      <c r="EN9" s="102">
        <v>43.75</v>
      </c>
      <c r="EO9" s="102">
        <v>94.915254237288138</v>
      </c>
      <c r="EP9" s="102">
        <v>63</v>
      </c>
      <c r="EQ9" s="102">
        <v>68</v>
      </c>
      <c r="ER9" s="102">
        <v>95</v>
      </c>
      <c r="ES9" s="102">
        <v>64</v>
      </c>
      <c r="ET9" s="102">
        <v>63</v>
      </c>
      <c r="EU9" s="102">
        <v>94</v>
      </c>
      <c r="EV9" s="102">
        <v>60.256410256410255</v>
      </c>
      <c r="EW9" s="102">
        <v>73.214285714285694</v>
      </c>
      <c r="EX9" s="102">
        <v>70.967741935483872</v>
      </c>
      <c r="EY9" s="102">
        <v>70.833333333333329</v>
      </c>
      <c r="EZ9" s="102">
        <v>68</v>
      </c>
      <c r="FA9" s="102">
        <v>98.412698412698404</v>
      </c>
    </row>
    <row r="10" spans="1:157" s="80" customFormat="1" ht="16.5" x14ac:dyDescent="0.3">
      <c r="A10" s="78" t="s">
        <v>143</v>
      </c>
      <c r="B10" s="79">
        <f>'Sect. Gov Priorities Fig 2-6 AR'!B10</f>
        <v>0</v>
      </c>
      <c r="C10" s="79">
        <f>'Sect. Gov Priorities Fig 2-6 AR'!C10</f>
        <v>0</v>
      </c>
      <c r="D10" s="79">
        <f>'Sect. Gov Priorities Fig 2-6 AR'!D10</f>
        <v>0</v>
      </c>
      <c r="E10" s="79">
        <f>'Sect. Gov Priorities Fig 2-6 AR'!E10</f>
        <v>0</v>
      </c>
      <c r="F10" s="79">
        <f>'Sect. Gov Priorities Fig 2-6 AR'!F10</f>
        <v>0</v>
      </c>
      <c r="G10" s="79">
        <f>'Sect. Gov Priorities Fig 2-6 AR'!G10</f>
        <v>0</v>
      </c>
      <c r="H10" s="79">
        <f>'Sect. Gov Priorities Fig 2-6 AR'!H10</f>
        <v>0</v>
      </c>
      <c r="I10" s="79">
        <f>'Sect. Gov Priorities Fig 2-6 AR'!I10</f>
        <v>0</v>
      </c>
      <c r="J10" s="79">
        <f>'Sect. Gov Priorities Fig 2-6 AR'!J10</f>
        <v>0</v>
      </c>
      <c r="K10" s="79">
        <f>'Sect. Gov Priorities Fig 2-6 AR'!K10</f>
        <v>0</v>
      </c>
      <c r="L10" s="79">
        <f>'Sect. Gov Priorities Fig 2-6 AR'!L10</f>
        <v>0</v>
      </c>
      <c r="M10" s="79">
        <f>'Sect. Gov Priorities Fig 2-6 AR'!M10</f>
        <v>0</v>
      </c>
      <c r="N10" s="79">
        <f>'Sect. Gov Priorities Fig 2-6 AR'!N10</f>
        <v>0</v>
      </c>
      <c r="O10" s="79">
        <f>'Sect. Gov Priorities Fig 2-6 AR'!O10</f>
        <v>0</v>
      </c>
      <c r="P10" s="79">
        <f>'Sect. Gov Priorities Fig 2-6 AR'!P10</f>
        <v>0</v>
      </c>
      <c r="Q10" s="79">
        <f>'Sect. Gov Priorities Fig 2-6 AR'!Q10</f>
        <v>0</v>
      </c>
      <c r="R10" s="79">
        <f>'Sect. Gov Priorities Fig 2-6 AR'!R10</f>
        <v>0</v>
      </c>
      <c r="S10" s="79">
        <f>'Sect. Gov Priorities Fig 2-6 AR'!S10</f>
        <v>0</v>
      </c>
      <c r="T10" s="79">
        <f>'Sect. Gov Priorities Fig 2-6 AR'!T10</f>
        <v>0</v>
      </c>
      <c r="U10" s="79">
        <f>'Sect. Gov Priorities Fig 2-6 AR'!U10</f>
        <v>0</v>
      </c>
      <c r="V10" s="79">
        <f>'Sect. Gov Priorities Fig 2-6 AR'!V10</f>
        <v>0</v>
      </c>
      <c r="W10" s="79">
        <f>'Sect. Gov Priorities Fig 2-6 AR'!W10</f>
        <v>0</v>
      </c>
      <c r="X10" s="79">
        <f>'Sect. Gov Priorities Fig 2-6 AR'!X10</f>
        <v>0</v>
      </c>
      <c r="Y10" s="79">
        <f>'Sect. Gov Priorities Fig 2-6 AR'!Y10</f>
        <v>0</v>
      </c>
      <c r="Z10" s="79">
        <f>'Sect. Gov Priorities Fig 2-6 AR'!Z10</f>
        <v>0</v>
      </c>
      <c r="AA10" s="79">
        <f>'Sect. Gov Priorities Fig 2-6 AR'!AA10</f>
        <v>0</v>
      </c>
      <c r="AB10" s="79">
        <f>'Sect. Gov Priorities Fig 2-6 AR'!AB10</f>
        <v>0</v>
      </c>
      <c r="AC10" s="79">
        <f>'Sect. Gov Priorities Fig 2-6 AR'!AC10</f>
        <v>0</v>
      </c>
      <c r="AD10" s="79">
        <f>'Sect. Gov Priorities Fig 2-6 AR'!AD10</f>
        <v>0</v>
      </c>
      <c r="AE10" s="79">
        <f>'Sect. Gov Priorities Fig 2-6 AR'!AE10</f>
        <v>0</v>
      </c>
      <c r="AF10" s="79">
        <f>'Sect. Gov Priorities Fig 2-6 AR'!AF10</f>
        <v>0</v>
      </c>
      <c r="AG10" s="79">
        <f>'Sect. Gov Priorities Fig 2-6 AR'!AG10</f>
        <v>0</v>
      </c>
      <c r="AH10" s="79">
        <f>'Sect. Gov Priorities Fig 2-6 AR'!AH10</f>
        <v>0</v>
      </c>
      <c r="AI10" s="79">
        <f>'Sect. Gov Priorities Fig 2-6 AR'!AI10</f>
        <v>0</v>
      </c>
      <c r="AJ10" s="79">
        <f>'Sect. Gov Priorities Fig 2-6 AR'!AJ10</f>
        <v>0</v>
      </c>
      <c r="AK10" s="79">
        <f>'Sect. Gov Priorities Fig 2-6 AR'!AK10</f>
        <v>0</v>
      </c>
      <c r="AL10" s="79">
        <f>'Sect. Gov Priorities Fig 2-6 AR'!AL10</f>
        <v>0</v>
      </c>
      <c r="AM10" s="79">
        <f>'Sect. Gov Priorities Fig 2-6 AR'!AM10</f>
        <v>0</v>
      </c>
      <c r="AN10" s="79">
        <f>'Sect. Gov Priorities Fig 2-6 AR'!AN10</f>
        <v>0</v>
      </c>
      <c r="AO10" s="79">
        <f>'Sect. Gov Priorities Fig 2-6 AR'!AO10</f>
        <v>0</v>
      </c>
      <c r="AP10" s="79">
        <f>'Sect. Gov Priorities Fig 2-6 AR'!AP10</f>
        <v>0</v>
      </c>
      <c r="AQ10" s="79">
        <f>'Sect. Gov Priorities Fig 2-6 AR'!AQ10</f>
        <v>0</v>
      </c>
      <c r="AR10" s="79">
        <f>'Sect. Gov Priorities Fig 2-6 AR'!AR10</f>
        <v>0</v>
      </c>
      <c r="AS10" s="79">
        <f>'Sect. Gov Priorities Fig 2-6 AR'!AS10</f>
        <v>0</v>
      </c>
      <c r="AT10" s="79">
        <f>'Sect. Gov Priorities Fig 2-6 AR'!AT10</f>
        <v>0</v>
      </c>
      <c r="AU10" s="79">
        <f>'Sect. Gov Priorities Fig 2-6 AR'!AU10</f>
        <v>0</v>
      </c>
      <c r="AV10" s="79">
        <f>'Sect. Gov Priorities Fig 2-6 AR'!AV10</f>
        <v>0</v>
      </c>
      <c r="AW10" s="79">
        <f>'Sect. Gov Priorities Fig 2-6 AR'!AW10</f>
        <v>0</v>
      </c>
      <c r="AX10" s="79">
        <f>'Sect. Gov Priorities Fig 2-6 AR'!AX10</f>
        <v>0</v>
      </c>
      <c r="AY10" s="79">
        <f>'Sect. Gov Priorities Fig 2-6 AR'!AY10</f>
        <v>0</v>
      </c>
      <c r="AZ10" s="79">
        <f>'Sect. Gov Priorities Fig 2-6 AR'!AZ10</f>
        <v>0</v>
      </c>
      <c r="BA10" s="79">
        <f>'Sect. Gov Priorities Fig 2-6 AR'!BA10</f>
        <v>0</v>
      </c>
      <c r="BB10" s="79">
        <f>'Sect. Gov Priorities Fig 2-6 AR'!BB10</f>
        <v>0</v>
      </c>
      <c r="BC10" s="79">
        <f>'Sect. Gov Priorities Fig 2-6 AR'!BC10</f>
        <v>0</v>
      </c>
      <c r="BD10" s="79">
        <f>'Sect. Gov Priorities Fig 2-6 AR'!BD10</f>
        <v>0</v>
      </c>
      <c r="BE10" s="79">
        <f>'Sect. Gov Priorities Fig 2-6 AR'!BE10</f>
        <v>0</v>
      </c>
      <c r="BF10" s="79">
        <f>'Sect. Gov Priorities Fig 2-6 AR'!BF10</f>
        <v>0</v>
      </c>
      <c r="BG10" s="79">
        <f>'Sect. Gov Priorities Fig 2-6 AR'!BG10</f>
        <v>0</v>
      </c>
      <c r="BH10" s="79">
        <f>'Sect. Gov Priorities Fig 2-6 AR'!BH10</f>
        <v>0</v>
      </c>
      <c r="BI10" s="79">
        <f>'Sect. Gov Priorities Fig 2-6 AR'!BI10</f>
        <v>0</v>
      </c>
      <c r="BJ10" s="79">
        <f>'Sect. Gov Priorities Fig 2-6 AR'!BJ10</f>
        <v>0</v>
      </c>
      <c r="BK10" s="79">
        <f>'Sect. Gov Priorities Fig 2-6 AR'!BK10</f>
        <v>0</v>
      </c>
      <c r="BL10" s="79">
        <f>'Sect. Gov Priorities Fig 2-6 AR'!BL10</f>
        <v>0</v>
      </c>
      <c r="BM10" s="79">
        <f>'Sect. Gov Priorities Fig 2-6 AR'!BM10</f>
        <v>0</v>
      </c>
      <c r="BN10" s="79">
        <f>'Sect. Gov Priorities Fig 2-6 AR'!BN10</f>
        <v>0</v>
      </c>
      <c r="BO10" s="79">
        <f>'Sect. Gov Priorities Fig 2-6 AR'!BO10</f>
        <v>0</v>
      </c>
      <c r="BP10" s="79">
        <f>'Sect. Gov Priorities Fig 2-6 AR'!BP10</f>
        <v>0</v>
      </c>
      <c r="BQ10" s="79">
        <f>'Sect. Gov Priorities Fig 2-6 AR'!BQ10</f>
        <v>0</v>
      </c>
      <c r="BR10" s="79">
        <f>'Sect. Gov Priorities Fig 2-6 AR'!BR10</f>
        <v>0</v>
      </c>
      <c r="BS10" s="79">
        <f>'Sect. Gov Priorities Fig 2-6 AR'!BS10</f>
        <v>0</v>
      </c>
      <c r="BT10" s="79">
        <f>'Sect. Gov Priorities Fig 2-6 AR'!BT10</f>
        <v>0</v>
      </c>
      <c r="BU10" s="79">
        <f>'Sect. Gov Priorities Fig 2-6 AR'!BU10</f>
        <v>0</v>
      </c>
      <c r="BV10" s="79">
        <f>'Sect. Gov Priorities Fig 2-6 AR'!BV10</f>
        <v>0</v>
      </c>
      <c r="BW10" s="79">
        <f>'Sect. Gov Priorities Fig 2-6 AR'!BW10</f>
        <v>0</v>
      </c>
      <c r="BX10" s="79">
        <f>'Sect. Gov Priorities Fig 2-6 AR'!BX10</f>
        <v>0</v>
      </c>
      <c r="BY10" s="79">
        <f>'Sect. Gov Priorities Fig 2-6 AR'!BY10</f>
        <v>0</v>
      </c>
      <c r="BZ10" s="79">
        <f>'Sect. Gov Priorities Fig 2-6 AR'!BZ10</f>
        <v>0</v>
      </c>
      <c r="CA10" s="79">
        <f>'Sect. Gov Priorities Fig 2-6 AR'!CA10</f>
        <v>0</v>
      </c>
      <c r="CB10" s="79">
        <f>'Sect. Gov Priorities Fig 2-6 AR'!CB10</f>
        <v>0</v>
      </c>
      <c r="CC10" s="79">
        <f>'Sect. Gov Priorities Fig 2-6 AR'!CC10</f>
        <v>0</v>
      </c>
      <c r="CD10" s="79">
        <f>'Sect. Gov Priorities Fig 2-6 AR'!CD10</f>
        <v>0</v>
      </c>
      <c r="CE10" s="79">
        <f>'Sect. Gov Priorities Fig 2-6 AR'!CE10</f>
        <v>0</v>
      </c>
      <c r="CF10" s="79">
        <f>'Sect. Gov Priorities Fig 2-6 AR'!CF10</f>
        <v>0</v>
      </c>
      <c r="CG10" s="79">
        <f>'Sect. Gov Priorities Fig 2-6 AR'!CG10</f>
        <v>0</v>
      </c>
      <c r="CH10" s="79">
        <f>'Sect. Gov Priorities Fig 2-6 AR'!CH10</f>
        <v>0</v>
      </c>
      <c r="CI10" s="79">
        <f>'Sect. Gov Priorities Fig 2-6 AR'!CI10</f>
        <v>0</v>
      </c>
      <c r="CJ10" s="79">
        <f>'Sect. Gov Priorities Fig 2-6 AR'!CJ10</f>
        <v>0</v>
      </c>
      <c r="CK10" s="79">
        <f>'Sect. Gov Priorities Fig 2-6 AR'!CK10</f>
        <v>0</v>
      </c>
      <c r="CL10" s="79">
        <f>'Sect. Gov Priorities Fig 2-6 AR'!CL10</f>
        <v>0</v>
      </c>
      <c r="CM10" s="79">
        <f>'Sect. Gov Priorities Fig 2-6 AR'!CM10</f>
        <v>0</v>
      </c>
      <c r="CN10" s="79">
        <f>'Sect. Gov Priorities Fig 2-6 AR'!CN10</f>
        <v>0</v>
      </c>
      <c r="CO10" s="79">
        <f>'Sect. Gov Priorities Fig 2-6 AR'!CO10</f>
        <v>0</v>
      </c>
      <c r="CP10" s="79">
        <f>'Sect. Gov Priorities Fig 2-6 AR'!CP10</f>
        <v>0</v>
      </c>
      <c r="CQ10" s="79">
        <f>'Sect. Gov Priorities Fig 2-6 AR'!CQ10</f>
        <v>0</v>
      </c>
      <c r="CR10" s="79">
        <f>'Sect. Gov Priorities Fig 2-6 AR'!CR10</f>
        <v>0</v>
      </c>
      <c r="CS10" s="79">
        <f>'Sect. Gov Priorities Fig 2-6 AR'!CS10</f>
        <v>0</v>
      </c>
      <c r="CT10" s="79">
        <f>'Sect. Gov Priorities Fig 2-6 AR'!CT10</f>
        <v>0</v>
      </c>
      <c r="CU10" s="79">
        <f>'Sect. Gov Priorities Fig 2-6 AR'!CU10</f>
        <v>0</v>
      </c>
      <c r="CV10" s="79">
        <f>'Sect. Gov Priorities Fig 2-6 AR'!CV10</f>
        <v>0</v>
      </c>
      <c r="CW10" s="79">
        <f>'Sect. Gov Priorities Fig 2-6 AR'!CW10</f>
        <v>0</v>
      </c>
      <c r="CX10" s="79">
        <f>'Sect. Gov Priorities Fig 2-6 AR'!CX10</f>
        <v>0</v>
      </c>
      <c r="CY10" s="79">
        <f>'Sect. Gov Priorities Fig 2-6 AR'!CY10</f>
        <v>0</v>
      </c>
      <c r="CZ10" s="79">
        <f>'Sect. Gov Priorities Fig 2-6 AR'!CZ10</f>
        <v>0</v>
      </c>
      <c r="DA10" s="79">
        <f>'Sect. Gov Priorities Fig 2-6 AR'!DA10</f>
        <v>0</v>
      </c>
      <c r="DB10" s="79">
        <f>'Sect. Gov Priorities Fig 2-6 AR'!DB10</f>
        <v>0</v>
      </c>
      <c r="DC10" s="79">
        <f>'Sect. Gov Priorities Fig 2-6 AR'!DC10</f>
        <v>0</v>
      </c>
      <c r="DD10" s="79">
        <f>'Sect. Gov Priorities Fig 2-6 AR'!DD10</f>
        <v>0</v>
      </c>
      <c r="DE10" s="79">
        <f>'Sect. Gov Priorities Fig 2-6 AR'!DE10</f>
        <v>0</v>
      </c>
      <c r="DF10" s="79">
        <f>'Sect. Gov Priorities Fig 2-6 AR'!DF10</f>
        <v>0</v>
      </c>
      <c r="DG10" s="79">
        <f>'Sect. Gov Priorities Fig 2-6 AR'!DG10</f>
        <v>0</v>
      </c>
      <c r="DH10" s="79">
        <f>'Sect. Gov Priorities Fig 2-6 AR'!DH10</f>
        <v>0</v>
      </c>
      <c r="DI10" s="79">
        <f>'Sect. Gov Priorities Fig 2-6 AR'!DI10</f>
        <v>0</v>
      </c>
      <c r="DJ10" s="79">
        <f>'Sect. Gov Priorities Fig 2-6 AR'!DJ10</f>
        <v>0</v>
      </c>
      <c r="DK10" s="79">
        <f>'Sect. Gov Priorities Fig 2-6 AR'!DK10</f>
        <v>0</v>
      </c>
      <c r="DL10" s="79">
        <f>'Sect. Gov Priorities Fig 2-6 AR'!DL10</f>
        <v>77.036272710750481</v>
      </c>
      <c r="DM10" s="79">
        <f>'Sect. Gov Priorities Fig 2-6 AR'!DM10</f>
        <v>83.333333333333329</v>
      </c>
      <c r="DN10" s="79">
        <f>'Sect. Gov Priorities Fig 2-6 AR'!DN10</f>
        <v>12.5</v>
      </c>
      <c r="DO10" s="79">
        <f>'Sect. Gov Priorities Fig 2-6 AR'!DO10</f>
        <v>8.3333333333333339</v>
      </c>
      <c r="DP10" s="79">
        <f>'Sect. Gov Priorities Fig 2-6 AR'!DP10</f>
        <v>46.346280447662942</v>
      </c>
      <c r="DQ10" s="79">
        <f>'Sect. Gov Priorities Fig 2-6 AR'!DQ10</f>
        <v>100</v>
      </c>
      <c r="DR10" s="79">
        <f>'Sect. Gov Priorities Fig 2-6 AR'!DR10</f>
        <v>89.954337899543376</v>
      </c>
      <c r="DS10" s="79">
        <f>'Sect. Gov Priorities Fig 2-6 AR'!DS10</f>
        <v>91.228070175438575</v>
      </c>
      <c r="DT10" s="79">
        <f>'Sect. Gov Priorities Fig 2-6 AR'!DT10</f>
        <v>77.5</v>
      </c>
      <c r="DU10" s="79">
        <f>'Sect. Gov Priorities Fig 2-6 AR'!DU10</f>
        <v>79.687500000000014</v>
      </c>
      <c r="DV10" s="79">
        <f>'Sect. Gov Priorities Fig 2-6 AR'!DV10</f>
        <v>56.25</v>
      </c>
      <c r="DW10" s="79">
        <f>'Sect. Gov Priorities Fig 2-6 AR'!DW10</f>
        <v>51.470588235294116</v>
      </c>
      <c r="DX10" s="79">
        <v>83.997232461126998</v>
      </c>
      <c r="DY10" s="79">
        <v>88.888888888888914</v>
      </c>
      <c r="DZ10" s="79">
        <v>20</v>
      </c>
      <c r="EA10" s="79">
        <v>48.780487804878035</v>
      </c>
      <c r="EB10" s="79">
        <v>34.375</v>
      </c>
      <c r="EC10" s="79">
        <v>60</v>
      </c>
      <c r="ED10" s="79">
        <v>86.44859813084112</v>
      </c>
      <c r="EE10" s="79">
        <v>96.296296296296305</v>
      </c>
      <c r="EF10" s="79">
        <v>52.777777777777779</v>
      </c>
      <c r="EG10" s="79">
        <v>19.565217391304344</v>
      </c>
      <c r="EH10" s="79">
        <v>46.875</v>
      </c>
      <c r="EI10" s="79">
        <v>37.704918032786885</v>
      </c>
      <c r="EJ10" s="102">
        <v>67.567567567567565</v>
      </c>
      <c r="EK10" s="102">
        <v>81.481481481481495</v>
      </c>
      <c r="EL10" s="102">
        <v>72.5</v>
      </c>
      <c r="EM10" s="102">
        <v>64.583333333333343</v>
      </c>
      <c r="EN10" s="102">
        <v>63</v>
      </c>
      <c r="EO10" s="102">
        <v>5.0847457627118651</v>
      </c>
      <c r="EP10" s="102">
        <v>73</v>
      </c>
      <c r="EQ10" s="102">
        <v>70</v>
      </c>
      <c r="ER10" s="102">
        <v>60</v>
      </c>
      <c r="ES10" s="102">
        <v>69</v>
      </c>
      <c r="ET10" s="102">
        <v>44</v>
      </c>
      <c r="EU10" s="102">
        <v>30</v>
      </c>
      <c r="EV10" s="102">
        <v>66.666666666666657</v>
      </c>
      <c r="EW10" s="102">
        <v>83.928571428571416</v>
      </c>
      <c r="EX10" s="102">
        <v>48.387096774193552</v>
      </c>
      <c r="EY10" s="102">
        <v>81.249999999999986</v>
      </c>
      <c r="EZ10" s="102">
        <v>32</v>
      </c>
      <c r="FA10" s="102">
        <v>7.9365079365079358</v>
      </c>
    </row>
    <row r="11" spans="1:157" s="80" customFormat="1" ht="16.5" x14ac:dyDescent="0.3">
      <c r="A11" s="78" t="s">
        <v>151</v>
      </c>
      <c r="B11" s="79">
        <f>'Sect. Gov Priorities Fig 2-6 AR'!B11</f>
        <v>0</v>
      </c>
      <c r="C11" s="79">
        <f>'Sect. Gov Priorities Fig 2-6 AR'!C11</f>
        <v>0</v>
      </c>
      <c r="D11" s="79">
        <f>'Sect. Gov Priorities Fig 2-6 AR'!D11</f>
        <v>0</v>
      </c>
      <c r="E11" s="79">
        <f>'Sect. Gov Priorities Fig 2-6 AR'!E11</f>
        <v>0</v>
      </c>
      <c r="F11" s="79">
        <f>'Sect. Gov Priorities Fig 2-6 AR'!F11</f>
        <v>0</v>
      </c>
      <c r="G11" s="79">
        <f>'Sect. Gov Priorities Fig 2-6 AR'!G11</f>
        <v>0</v>
      </c>
      <c r="H11" s="79">
        <f>'Sect. Gov Priorities Fig 2-6 AR'!H11</f>
        <v>0</v>
      </c>
      <c r="I11" s="79">
        <f>'Sect. Gov Priorities Fig 2-6 AR'!I11</f>
        <v>0</v>
      </c>
      <c r="J11" s="79">
        <f>'Sect. Gov Priorities Fig 2-6 AR'!J11</f>
        <v>0</v>
      </c>
      <c r="K11" s="79">
        <f>'Sect. Gov Priorities Fig 2-6 AR'!K11</f>
        <v>0</v>
      </c>
      <c r="L11" s="79">
        <f>'Sect. Gov Priorities Fig 2-6 AR'!L11</f>
        <v>0</v>
      </c>
      <c r="M11" s="79">
        <f>'Sect. Gov Priorities Fig 2-6 AR'!M11</f>
        <v>0</v>
      </c>
      <c r="N11" s="79">
        <f>'Sect. Gov Priorities Fig 2-6 AR'!N11</f>
        <v>0</v>
      </c>
      <c r="O11" s="79">
        <f>'Sect. Gov Priorities Fig 2-6 AR'!O11</f>
        <v>0</v>
      </c>
      <c r="P11" s="79">
        <f>'Sect. Gov Priorities Fig 2-6 AR'!P11</f>
        <v>0</v>
      </c>
      <c r="Q11" s="79">
        <f>'Sect. Gov Priorities Fig 2-6 AR'!Q11</f>
        <v>0</v>
      </c>
      <c r="R11" s="79">
        <f>'Sect. Gov Priorities Fig 2-6 AR'!R11</f>
        <v>0</v>
      </c>
      <c r="S11" s="79">
        <f>'Sect. Gov Priorities Fig 2-6 AR'!S11</f>
        <v>0</v>
      </c>
      <c r="T11" s="79">
        <f>'Sect. Gov Priorities Fig 2-6 AR'!T11</f>
        <v>0</v>
      </c>
      <c r="U11" s="79">
        <f>'Sect. Gov Priorities Fig 2-6 AR'!U11</f>
        <v>0</v>
      </c>
      <c r="V11" s="79">
        <f>'Sect. Gov Priorities Fig 2-6 AR'!V11</f>
        <v>0</v>
      </c>
      <c r="W11" s="79">
        <f>'Sect. Gov Priorities Fig 2-6 AR'!W11</f>
        <v>0</v>
      </c>
      <c r="X11" s="79">
        <f>'Sect. Gov Priorities Fig 2-6 AR'!X11</f>
        <v>0</v>
      </c>
      <c r="Y11" s="79">
        <f>'Sect. Gov Priorities Fig 2-6 AR'!Y11</f>
        <v>0</v>
      </c>
      <c r="Z11" s="79">
        <f>'Sect. Gov Priorities Fig 2-6 AR'!Z11</f>
        <v>0</v>
      </c>
      <c r="AA11" s="79">
        <f>'Sect. Gov Priorities Fig 2-6 AR'!AA11</f>
        <v>0</v>
      </c>
      <c r="AB11" s="79">
        <f>'Sect. Gov Priorities Fig 2-6 AR'!AB11</f>
        <v>0</v>
      </c>
      <c r="AC11" s="79">
        <f>'Sect. Gov Priorities Fig 2-6 AR'!AC11</f>
        <v>0</v>
      </c>
      <c r="AD11" s="79">
        <f>'Sect. Gov Priorities Fig 2-6 AR'!AD11</f>
        <v>0</v>
      </c>
      <c r="AE11" s="79">
        <f>'Sect. Gov Priorities Fig 2-6 AR'!AE11</f>
        <v>0</v>
      </c>
      <c r="AF11" s="79">
        <f>'Sect. Gov Priorities Fig 2-6 AR'!AF11</f>
        <v>0</v>
      </c>
      <c r="AG11" s="79">
        <f>'Sect. Gov Priorities Fig 2-6 AR'!AG11</f>
        <v>0</v>
      </c>
      <c r="AH11" s="79">
        <f>'Sect. Gov Priorities Fig 2-6 AR'!AH11</f>
        <v>0</v>
      </c>
      <c r="AI11" s="79">
        <f>'Sect. Gov Priorities Fig 2-6 AR'!AI11</f>
        <v>0</v>
      </c>
      <c r="AJ11" s="79">
        <f>'Sect. Gov Priorities Fig 2-6 AR'!AJ11</f>
        <v>0</v>
      </c>
      <c r="AK11" s="79">
        <f>'Sect. Gov Priorities Fig 2-6 AR'!AK11</f>
        <v>0</v>
      </c>
      <c r="AL11" s="79">
        <f>'Sect. Gov Priorities Fig 2-6 AR'!AL11</f>
        <v>0</v>
      </c>
      <c r="AM11" s="79">
        <f>'Sect. Gov Priorities Fig 2-6 AR'!AM11</f>
        <v>0</v>
      </c>
      <c r="AN11" s="79">
        <f>'Sect. Gov Priorities Fig 2-6 AR'!AN11</f>
        <v>0</v>
      </c>
      <c r="AO11" s="79">
        <f>'Sect. Gov Priorities Fig 2-6 AR'!AO11</f>
        <v>0</v>
      </c>
      <c r="AP11" s="79">
        <f>'Sect. Gov Priorities Fig 2-6 AR'!AP11</f>
        <v>0</v>
      </c>
      <c r="AQ11" s="79">
        <f>'Sect. Gov Priorities Fig 2-6 AR'!AQ11</f>
        <v>0</v>
      </c>
      <c r="AR11" s="79">
        <f>'Sect. Gov Priorities Fig 2-6 AR'!AR11</f>
        <v>0</v>
      </c>
      <c r="AS11" s="79">
        <f>'Sect. Gov Priorities Fig 2-6 AR'!AS11</f>
        <v>0</v>
      </c>
      <c r="AT11" s="79">
        <f>'Sect. Gov Priorities Fig 2-6 AR'!AT11</f>
        <v>0</v>
      </c>
      <c r="AU11" s="79">
        <f>'Sect. Gov Priorities Fig 2-6 AR'!AU11</f>
        <v>0</v>
      </c>
      <c r="AV11" s="79">
        <f>'Sect. Gov Priorities Fig 2-6 AR'!AV11</f>
        <v>0</v>
      </c>
      <c r="AW11" s="79">
        <f>'Sect. Gov Priorities Fig 2-6 AR'!AW11</f>
        <v>0</v>
      </c>
      <c r="AX11" s="79">
        <f>'Sect. Gov Priorities Fig 2-6 AR'!AX11</f>
        <v>0</v>
      </c>
      <c r="AY11" s="79">
        <f>'Sect. Gov Priorities Fig 2-6 AR'!AY11</f>
        <v>0</v>
      </c>
      <c r="AZ11" s="79">
        <f>'Sect. Gov Priorities Fig 2-6 AR'!AZ11</f>
        <v>0</v>
      </c>
      <c r="BA11" s="79">
        <f>'Sect. Gov Priorities Fig 2-6 AR'!BA11</f>
        <v>0</v>
      </c>
      <c r="BB11" s="79">
        <f>'Sect. Gov Priorities Fig 2-6 AR'!BB11</f>
        <v>0</v>
      </c>
      <c r="BC11" s="79">
        <f>'Sect. Gov Priorities Fig 2-6 AR'!BC11</f>
        <v>0</v>
      </c>
      <c r="BD11" s="79">
        <f>'Sect. Gov Priorities Fig 2-6 AR'!BD11</f>
        <v>0</v>
      </c>
      <c r="BE11" s="79">
        <f>'Sect. Gov Priorities Fig 2-6 AR'!BE11</f>
        <v>0</v>
      </c>
      <c r="BF11" s="79">
        <f>'Sect. Gov Priorities Fig 2-6 AR'!BF11</f>
        <v>0</v>
      </c>
      <c r="BG11" s="79">
        <f>'Sect. Gov Priorities Fig 2-6 AR'!BG11</f>
        <v>0</v>
      </c>
      <c r="BH11" s="79">
        <f>'Sect. Gov Priorities Fig 2-6 AR'!BH11</f>
        <v>0</v>
      </c>
      <c r="BI11" s="79">
        <f>'Sect. Gov Priorities Fig 2-6 AR'!BI11</f>
        <v>0</v>
      </c>
      <c r="BJ11" s="79">
        <f>'Sect. Gov Priorities Fig 2-6 AR'!BJ11</f>
        <v>0</v>
      </c>
      <c r="BK11" s="79">
        <f>'Sect. Gov Priorities Fig 2-6 AR'!BK11</f>
        <v>0</v>
      </c>
      <c r="BL11" s="79">
        <f>'Sect. Gov Priorities Fig 2-6 AR'!BL11</f>
        <v>0</v>
      </c>
      <c r="BM11" s="79">
        <f>'Sect. Gov Priorities Fig 2-6 AR'!BM11</f>
        <v>0</v>
      </c>
      <c r="BN11" s="79">
        <f>'Sect. Gov Priorities Fig 2-6 AR'!BN11</f>
        <v>0</v>
      </c>
      <c r="BO11" s="79">
        <f>'Sect. Gov Priorities Fig 2-6 AR'!BO11</f>
        <v>0</v>
      </c>
      <c r="BP11" s="79">
        <f>'Sect. Gov Priorities Fig 2-6 AR'!BP11</f>
        <v>0</v>
      </c>
      <c r="BQ11" s="79">
        <f>'Sect. Gov Priorities Fig 2-6 AR'!BQ11</f>
        <v>0</v>
      </c>
      <c r="BR11" s="79">
        <f>'Sect. Gov Priorities Fig 2-6 AR'!BR11</f>
        <v>0</v>
      </c>
      <c r="BS11" s="79">
        <f>'Sect. Gov Priorities Fig 2-6 AR'!BS11</f>
        <v>0</v>
      </c>
      <c r="BT11" s="79">
        <f>'Sect. Gov Priorities Fig 2-6 AR'!BT11</f>
        <v>0</v>
      </c>
      <c r="BU11" s="79">
        <f>'Sect. Gov Priorities Fig 2-6 AR'!BU11</f>
        <v>0</v>
      </c>
      <c r="BV11" s="79">
        <f>'Sect. Gov Priorities Fig 2-6 AR'!BV11</f>
        <v>0</v>
      </c>
      <c r="BW11" s="79">
        <f>'Sect. Gov Priorities Fig 2-6 AR'!BW11</f>
        <v>0</v>
      </c>
      <c r="BX11" s="79">
        <f>'Sect. Gov Priorities Fig 2-6 AR'!BX11</f>
        <v>0</v>
      </c>
      <c r="BY11" s="79">
        <f>'Sect. Gov Priorities Fig 2-6 AR'!BY11</f>
        <v>0</v>
      </c>
      <c r="BZ11" s="79">
        <f>'Sect. Gov Priorities Fig 2-6 AR'!BZ11</f>
        <v>0</v>
      </c>
      <c r="CA11" s="79">
        <f>'Sect. Gov Priorities Fig 2-6 AR'!CA11</f>
        <v>0</v>
      </c>
      <c r="CB11" s="79">
        <f>'Sect. Gov Priorities Fig 2-6 AR'!CB11</f>
        <v>0</v>
      </c>
      <c r="CC11" s="79">
        <f>'Sect. Gov Priorities Fig 2-6 AR'!CC11</f>
        <v>0</v>
      </c>
      <c r="CD11" s="79">
        <f>'Sect. Gov Priorities Fig 2-6 AR'!CD11</f>
        <v>0</v>
      </c>
      <c r="CE11" s="79">
        <f>'Sect. Gov Priorities Fig 2-6 AR'!CE11</f>
        <v>0</v>
      </c>
      <c r="CF11" s="79">
        <f>'Sect. Gov Priorities Fig 2-6 AR'!CF11</f>
        <v>0</v>
      </c>
      <c r="CG11" s="79">
        <f>'Sect. Gov Priorities Fig 2-6 AR'!CG11</f>
        <v>0</v>
      </c>
      <c r="CH11" s="79">
        <f>'Sect. Gov Priorities Fig 2-6 AR'!CH11</f>
        <v>0</v>
      </c>
      <c r="CI11" s="79">
        <f>'Sect. Gov Priorities Fig 2-6 AR'!CI11</f>
        <v>0</v>
      </c>
      <c r="CJ11" s="79">
        <f>'Sect. Gov Priorities Fig 2-6 AR'!CJ11</f>
        <v>0</v>
      </c>
      <c r="CK11" s="79">
        <f>'Sect. Gov Priorities Fig 2-6 AR'!CK11</f>
        <v>0</v>
      </c>
      <c r="CL11" s="79">
        <f>'Sect. Gov Priorities Fig 2-6 AR'!CL11</f>
        <v>0</v>
      </c>
      <c r="CM11" s="79">
        <f>'Sect. Gov Priorities Fig 2-6 AR'!CM11</f>
        <v>0</v>
      </c>
      <c r="CN11" s="79">
        <f>'Sect. Gov Priorities Fig 2-6 AR'!CN11</f>
        <v>0</v>
      </c>
      <c r="CO11" s="79">
        <f>'Sect. Gov Priorities Fig 2-6 AR'!CO11</f>
        <v>0</v>
      </c>
      <c r="CP11" s="79">
        <f>'Sect. Gov Priorities Fig 2-6 AR'!CP11</f>
        <v>0</v>
      </c>
      <c r="CQ11" s="79">
        <f>'Sect. Gov Priorities Fig 2-6 AR'!CQ11</f>
        <v>0</v>
      </c>
      <c r="CR11" s="79">
        <f>'Sect. Gov Priorities Fig 2-6 AR'!CR11</f>
        <v>0</v>
      </c>
      <c r="CS11" s="79">
        <f>'Sect. Gov Priorities Fig 2-6 AR'!CS11</f>
        <v>0</v>
      </c>
      <c r="CT11" s="79">
        <f>'Sect. Gov Priorities Fig 2-6 AR'!CT11</f>
        <v>0</v>
      </c>
      <c r="CU11" s="79">
        <f>'Sect. Gov Priorities Fig 2-6 AR'!CU11</f>
        <v>0</v>
      </c>
      <c r="CV11" s="79">
        <f>'Sect. Gov Priorities Fig 2-6 AR'!CV11</f>
        <v>0</v>
      </c>
      <c r="CW11" s="79">
        <f>'Sect. Gov Priorities Fig 2-6 AR'!CW11</f>
        <v>0</v>
      </c>
      <c r="CX11" s="79">
        <f>'Sect. Gov Priorities Fig 2-6 AR'!CX11</f>
        <v>0</v>
      </c>
      <c r="CY11" s="79">
        <f>'Sect. Gov Priorities Fig 2-6 AR'!CY11</f>
        <v>0</v>
      </c>
      <c r="CZ11" s="79">
        <f>'Sect. Gov Priorities Fig 2-6 AR'!CZ11</f>
        <v>0</v>
      </c>
      <c r="DA11" s="79">
        <f>'Sect. Gov Priorities Fig 2-6 AR'!DA11</f>
        <v>0</v>
      </c>
      <c r="DB11" s="79">
        <f>'Sect. Gov Priorities Fig 2-6 AR'!DB11</f>
        <v>0</v>
      </c>
      <c r="DC11" s="79">
        <f>'Sect. Gov Priorities Fig 2-6 AR'!DC11</f>
        <v>0</v>
      </c>
      <c r="DD11" s="79">
        <f>'Sect. Gov Priorities Fig 2-6 AR'!DD11</f>
        <v>0</v>
      </c>
      <c r="DE11" s="79">
        <f>'Sect. Gov Priorities Fig 2-6 AR'!DE11</f>
        <v>0</v>
      </c>
      <c r="DF11" s="79">
        <f>'Sect. Gov Priorities Fig 2-6 AR'!DF11</f>
        <v>0</v>
      </c>
      <c r="DG11" s="79">
        <f>'Sect. Gov Priorities Fig 2-6 AR'!DG11</f>
        <v>0</v>
      </c>
      <c r="DH11" s="79">
        <f>'Sect. Gov Priorities Fig 2-6 AR'!DH11</f>
        <v>0</v>
      </c>
      <c r="DI11" s="79">
        <f>'Sect. Gov Priorities Fig 2-6 AR'!DI11</f>
        <v>0</v>
      </c>
      <c r="DJ11" s="79">
        <f>'Sect. Gov Priorities Fig 2-6 AR'!DJ11</f>
        <v>0</v>
      </c>
      <c r="DK11" s="79">
        <f>'Sect. Gov Priorities Fig 2-6 AR'!DK11</f>
        <v>0</v>
      </c>
      <c r="DL11" s="79">
        <f>'Sect. Gov Priorities Fig 2-6 AR'!DL11</f>
        <v>68.06629575127954</v>
      </c>
      <c r="DM11" s="79">
        <f>'Sect. Gov Priorities Fig 2-6 AR'!DM11</f>
        <v>95.833333333333343</v>
      </c>
      <c r="DN11" s="79">
        <f>'Sect. Gov Priorities Fig 2-6 AR'!DN11</f>
        <v>7.5</v>
      </c>
      <c r="DO11" s="79">
        <f>'Sect. Gov Priorities Fig 2-6 AR'!DO11</f>
        <v>63.020833333333336</v>
      </c>
      <c r="DP11" s="79">
        <f>'Sect. Gov Priorities Fig 2-6 AR'!DP11</f>
        <v>21.066491112574063</v>
      </c>
      <c r="DQ11" s="79">
        <f>'Sect. Gov Priorities Fig 2-6 AR'!DQ11</f>
        <v>50.909090909090907</v>
      </c>
      <c r="DR11" s="79">
        <f>'Sect. Gov Priorities Fig 2-6 AR'!DR11</f>
        <v>75.342465753424662</v>
      </c>
      <c r="DS11" s="79">
        <f>'Sect. Gov Priorities Fig 2-6 AR'!DS11</f>
        <v>85.964912280701739</v>
      </c>
      <c r="DT11" s="79">
        <f>'Sect. Gov Priorities Fig 2-6 AR'!DT11</f>
        <v>50</v>
      </c>
      <c r="DU11" s="79">
        <f>'Sect. Gov Priorities Fig 2-6 AR'!DU11</f>
        <v>42.187500000000007</v>
      </c>
      <c r="DV11" s="79">
        <f>'Sect. Gov Priorities Fig 2-6 AR'!DV11</f>
        <v>50</v>
      </c>
      <c r="DW11" s="79">
        <f>'Sect. Gov Priorities Fig 2-6 AR'!DW11</f>
        <v>38.235294117647051</v>
      </c>
      <c r="DX11" s="79">
        <v>95.774647887323951</v>
      </c>
      <c r="DY11" s="79">
        <v>92.592592592592609</v>
      </c>
      <c r="DZ11" s="79">
        <v>80</v>
      </c>
      <c r="EA11" s="79">
        <v>100</v>
      </c>
      <c r="EB11" s="79">
        <v>75</v>
      </c>
      <c r="EC11" s="79">
        <v>86.666666666666671</v>
      </c>
      <c r="ED11" s="79">
        <v>97.196261682242991</v>
      </c>
      <c r="EE11" s="79">
        <v>100</v>
      </c>
      <c r="EF11" s="79">
        <v>58.333333333333336</v>
      </c>
      <c r="EG11" s="79">
        <v>100</v>
      </c>
      <c r="EH11" s="79">
        <v>68.75</v>
      </c>
      <c r="EI11" s="79">
        <v>100</v>
      </c>
      <c r="EJ11" s="102">
        <v>100</v>
      </c>
      <c r="EK11" s="102">
        <v>100</v>
      </c>
      <c r="EL11" s="102">
        <v>100</v>
      </c>
      <c r="EM11" s="102">
        <v>95.833333333333343</v>
      </c>
      <c r="EN11" s="102">
        <v>93.75</v>
      </c>
      <c r="EO11" s="102">
        <v>100</v>
      </c>
      <c r="EP11" s="102">
        <v>100</v>
      </c>
      <c r="EQ11" s="102">
        <v>100</v>
      </c>
      <c r="ER11" s="102">
        <v>100</v>
      </c>
      <c r="ES11" s="102">
        <v>87</v>
      </c>
      <c r="ET11" s="102">
        <v>100</v>
      </c>
      <c r="EU11" s="102">
        <v>100</v>
      </c>
      <c r="EV11" s="102">
        <v>100</v>
      </c>
      <c r="EW11" s="102">
        <v>100</v>
      </c>
      <c r="EX11" s="102">
        <v>100</v>
      </c>
      <c r="EY11" s="102">
        <v>100</v>
      </c>
      <c r="EZ11" s="102">
        <v>100</v>
      </c>
      <c r="FA11" s="102">
        <v>100</v>
      </c>
    </row>
    <row r="12" spans="1:157" s="80" customFormat="1" ht="16.5" x14ac:dyDescent="0.3">
      <c r="A12" s="78" t="s">
        <v>144</v>
      </c>
      <c r="B12" s="79">
        <f>'Sect. Gov Priorities Fig 2-6 AR'!B12</f>
        <v>0</v>
      </c>
      <c r="C12" s="79">
        <f>'Sect. Gov Priorities Fig 2-6 AR'!C12</f>
        <v>0</v>
      </c>
      <c r="D12" s="79">
        <f>'Sect. Gov Priorities Fig 2-6 AR'!D12</f>
        <v>0</v>
      </c>
      <c r="E12" s="79">
        <f>'Sect. Gov Priorities Fig 2-6 AR'!E12</f>
        <v>0</v>
      </c>
      <c r="F12" s="79">
        <f>'Sect. Gov Priorities Fig 2-6 AR'!F12</f>
        <v>0</v>
      </c>
      <c r="G12" s="79">
        <f>'Sect. Gov Priorities Fig 2-6 AR'!G12</f>
        <v>0</v>
      </c>
      <c r="H12" s="79">
        <f>'Sect. Gov Priorities Fig 2-6 AR'!H12</f>
        <v>0</v>
      </c>
      <c r="I12" s="79">
        <f>'Sect. Gov Priorities Fig 2-6 AR'!I12</f>
        <v>0</v>
      </c>
      <c r="J12" s="79">
        <f>'Sect. Gov Priorities Fig 2-6 AR'!J12</f>
        <v>0</v>
      </c>
      <c r="K12" s="79">
        <f>'Sect. Gov Priorities Fig 2-6 AR'!K12</f>
        <v>0</v>
      </c>
      <c r="L12" s="79">
        <f>'Sect. Gov Priorities Fig 2-6 AR'!L12</f>
        <v>0</v>
      </c>
      <c r="M12" s="79">
        <f>'Sect. Gov Priorities Fig 2-6 AR'!M12</f>
        <v>0</v>
      </c>
      <c r="N12" s="79">
        <f>'Sect. Gov Priorities Fig 2-6 AR'!N12</f>
        <v>0</v>
      </c>
      <c r="O12" s="79">
        <f>'Sect. Gov Priorities Fig 2-6 AR'!O12</f>
        <v>0</v>
      </c>
      <c r="P12" s="79">
        <f>'Sect. Gov Priorities Fig 2-6 AR'!P12</f>
        <v>0</v>
      </c>
      <c r="Q12" s="79">
        <f>'Sect. Gov Priorities Fig 2-6 AR'!Q12</f>
        <v>0</v>
      </c>
      <c r="R12" s="79">
        <f>'Sect. Gov Priorities Fig 2-6 AR'!R12</f>
        <v>0</v>
      </c>
      <c r="S12" s="79">
        <f>'Sect. Gov Priorities Fig 2-6 AR'!S12</f>
        <v>0</v>
      </c>
      <c r="T12" s="79">
        <f>'Sect. Gov Priorities Fig 2-6 AR'!T12</f>
        <v>0</v>
      </c>
      <c r="U12" s="79">
        <f>'Sect. Gov Priorities Fig 2-6 AR'!U12</f>
        <v>0</v>
      </c>
      <c r="V12" s="79">
        <f>'Sect. Gov Priorities Fig 2-6 AR'!V12</f>
        <v>0</v>
      </c>
      <c r="W12" s="79">
        <f>'Sect. Gov Priorities Fig 2-6 AR'!W12</f>
        <v>0</v>
      </c>
      <c r="X12" s="79">
        <f>'Sect. Gov Priorities Fig 2-6 AR'!X12</f>
        <v>0</v>
      </c>
      <c r="Y12" s="79">
        <f>'Sect. Gov Priorities Fig 2-6 AR'!Y12</f>
        <v>0</v>
      </c>
      <c r="Z12" s="79">
        <f>'Sect. Gov Priorities Fig 2-6 AR'!Z12</f>
        <v>0</v>
      </c>
      <c r="AA12" s="79">
        <f>'Sect. Gov Priorities Fig 2-6 AR'!AA12</f>
        <v>0</v>
      </c>
      <c r="AB12" s="79">
        <f>'Sect. Gov Priorities Fig 2-6 AR'!AB12</f>
        <v>0</v>
      </c>
      <c r="AC12" s="79">
        <f>'Sect. Gov Priorities Fig 2-6 AR'!AC12</f>
        <v>0</v>
      </c>
      <c r="AD12" s="79">
        <f>'Sect. Gov Priorities Fig 2-6 AR'!AD12</f>
        <v>0</v>
      </c>
      <c r="AE12" s="79">
        <f>'Sect. Gov Priorities Fig 2-6 AR'!AE12</f>
        <v>0</v>
      </c>
      <c r="AF12" s="79">
        <f>'Sect. Gov Priorities Fig 2-6 AR'!AF12</f>
        <v>0</v>
      </c>
      <c r="AG12" s="79">
        <f>'Sect. Gov Priorities Fig 2-6 AR'!AG12</f>
        <v>0</v>
      </c>
      <c r="AH12" s="79">
        <f>'Sect. Gov Priorities Fig 2-6 AR'!AH12</f>
        <v>0</v>
      </c>
      <c r="AI12" s="79">
        <f>'Sect. Gov Priorities Fig 2-6 AR'!AI12</f>
        <v>0</v>
      </c>
      <c r="AJ12" s="79">
        <f>'Sect. Gov Priorities Fig 2-6 AR'!AJ12</f>
        <v>0</v>
      </c>
      <c r="AK12" s="79">
        <f>'Sect. Gov Priorities Fig 2-6 AR'!AK12</f>
        <v>0</v>
      </c>
      <c r="AL12" s="79">
        <f>'Sect. Gov Priorities Fig 2-6 AR'!AL12</f>
        <v>0</v>
      </c>
      <c r="AM12" s="79">
        <f>'Sect. Gov Priorities Fig 2-6 AR'!AM12</f>
        <v>0</v>
      </c>
      <c r="AN12" s="79">
        <f>'Sect. Gov Priorities Fig 2-6 AR'!AN12</f>
        <v>0</v>
      </c>
      <c r="AO12" s="79">
        <f>'Sect. Gov Priorities Fig 2-6 AR'!AO12</f>
        <v>0</v>
      </c>
      <c r="AP12" s="79">
        <f>'Sect. Gov Priorities Fig 2-6 AR'!AP12</f>
        <v>0</v>
      </c>
      <c r="AQ12" s="79">
        <f>'Sect. Gov Priorities Fig 2-6 AR'!AQ12</f>
        <v>0</v>
      </c>
      <c r="AR12" s="79">
        <f>'Sect. Gov Priorities Fig 2-6 AR'!AR12</f>
        <v>0</v>
      </c>
      <c r="AS12" s="79">
        <f>'Sect. Gov Priorities Fig 2-6 AR'!AS12</f>
        <v>0</v>
      </c>
      <c r="AT12" s="79">
        <f>'Sect. Gov Priorities Fig 2-6 AR'!AT12</f>
        <v>0</v>
      </c>
      <c r="AU12" s="79">
        <f>'Sect. Gov Priorities Fig 2-6 AR'!AU12</f>
        <v>0</v>
      </c>
      <c r="AV12" s="79">
        <f>'Sect. Gov Priorities Fig 2-6 AR'!AV12</f>
        <v>0</v>
      </c>
      <c r="AW12" s="79">
        <f>'Sect. Gov Priorities Fig 2-6 AR'!AW12</f>
        <v>0</v>
      </c>
      <c r="AX12" s="79">
        <f>'Sect. Gov Priorities Fig 2-6 AR'!AX12</f>
        <v>0</v>
      </c>
      <c r="AY12" s="79">
        <f>'Sect. Gov Priorities Fig 2-6 AR'!AY12</f>
        <v>0</v>
      </c>
      <c r="AZ12" s="79">
        <f>'Sect. Gov Priorities Fig 2-6 AR'!AZ12</f>
        <v>0</v>
      </c>
      <c r="BA12" s="79">
        <f>'Sect. Gov Priorities Fig 2-6 AR'!BA12</f>
        <v>0</v>
      </c>
      <c r="BB12" s="79">
        <f>'Sect. Gov Priorities Fig 2-6 AR'!BB12</f>
        <v>0</v>
      </c>
      <c r="BC12" s="79">
        <f>'Sect. Gov Priorities Fig 2-6 AR'!BC12</f>
        <v>0</v>
      </c>
      <c r="BD12" s="79">
        <f>'Sect. Gov Priorities Fig 2-6 AR'!BD12</f>
        <v>0</v>
      </c>
      <c r="BE12" s="79">
        <f>'Sect. Gov Priorities Fig 2-6 AR'!BE12</f>
        <v>0</v>
      </c>
      <c r="BF12" s="79">
        <f>'Sect. Gov Priorities Fig 2-6 AR'!BF12</f>
        <v>0</v>
      </c>
      <c r="BG12" s="79">
        <f>'Sect. Gov Priorities Fig 2-6 AR'!BG12</f>
        <v>0</v>
      </c>
      <c r="BH12" s="79">
        <f>'Sect. Gov Priorities Fig 2-6 AR'!BH12</f>
        <v>0</v>
      </c>
      <c r="BI12" s="79">
        <f>'Sect. Gov Priorities Fig 2-6 AR'!BI12</f>
        <v>0</v>
      </c>
      <c r="BJ12" s="79">
        <f>'Sect. Gov Priorities Fig 2-6 AR'!BJ12</f>
        <v>0</v>
      </c>
      <c r="BK12" s="79">
        <f>'Sect. Gov Priorities Fig 2-6 AR'!BK12</f>
        <v>0</v>
      </c>
      <c r="BL12" s="79">
        <f>'Sect. Gov Priorities Fig 2-6 AR'!BL12</f>
        <v>0</v>
      </c>
      <c r="BM12" s="79">
        <f>'Sect. Gov Priorities Fig 2-6 AR'!BM12</f>
        <v>0</v>
      </c>
      <c r="BN12" s="79">
        <f>'Sect. Gov Priorities Fig 2-6 AR'!BN12</f>
        <v>0</v>
      </c>
      <c r="BO12" s="79">
        <f>'Sect. Gov Priorities Fig 2-6 AR'!BO12</f>
        <v>0</v>
      </c>
      <c r="BP12" s="79">
        <f>'Sect. Gov Priorities Fig 2-6 AR'!BP12</f>
        <v>0</v>
      </c>
      <c r="BQ12" s="79">
        <f>'Sect. Gov Priorities Fig 2-6 AR'!BQ12</f>
        <v>0</v>
      </c>
      <c r="BR12" s="79">
        <f>'Sect. Gov Priorities Fig 2-6 AR'!BR12</f>
        <v>0</v>
      </c>
      <c r="BS12" s="79">
        <f>'Sect. Gov Priorities Fig 2-6 AR'!BS12</f>
        <v>0</v>
      </c>
      <c r="BT12" s="79">
        <f>'Sect. Gov Priorities Fig 2-6 AR'!BT12</f>
        <v>0</v>
      </c>
      <c r="BU12" s="79">
        <f>'Sect. Gov Priorities Fig 2-6 AR'!BU12</f>
        <v>0</v>
      </c>
      <c r="BV12" s="79">
        <f>'Sect. Gov Priorities Fig 2-6 AR'!BV12</f>
        <v>0</v>
      </c>
      <c r="BW12" s="79">
        <f>'Sect. Gov Priorities Fig 2-6 AR'!BW12</f>
        <v>0</v>
      </c>
      <c r="BX12" s="79">
        <f>'Sect. Gov Priorities Fig 2-6 AR'!BX12</f>
        <v>0</v>
      </c>
      <c r="BY12" s="79">
        <f>'Sect. Gov Priorities Fig 2-6 AR'!BY12</f>
        <v>0</v>
      </c>
      <c r="BZ12" s="79">
        <f>'Sect. Gov Priorities Fig 2-6 AR'!BZ12</f>
        <v>0</v>
      </c>
      <c r="CA12" s="79">
        <f>'Sect. Gov Priorities Fig 2-6 AR'!CA12</f>
        <v>0</v>
      </c>
      <c r="CB12" s="79">
        <f>'Sect. Gov Priorities Fig 2-6 AR'!CB12</f>
        <v>0</v>
      </c>
      <c r="CC12" s="79">
        <f>'Sect. Gov Priorities Fig 2-6 AR'!CC12</f>
        <v>0</v>
      </c>
      <c r="CD12" s="79">
        <f>'Sect. Gov Priorities Fig 2-6 AR'!CD12</f>
        <v>0</v>
      </c>
      <c r="CE12" s="79">
        <f>'Sect. Gov Priorities Fig 2-6 AR'!CE12</f>
        <v>0</v>
      </c>
      <c r="CF12" s="79">
        <f>'Sect. Gov Priorities Fig 2-6 AR'!CF12</f>
        <v>0</v>
      </c>
      <c r="CG12" s="79">
        <f>'Sect. Gov Priorities Fig 2-6 AR'!CG12</f>
        <v>0</v>
      </c>
      <c r="CH12" s="79">
        <f>'Sect. Gov Priorities Fig 2-6 AR'!CH12</f>
        <v>0</v>
      </c>
      <c r="CI12" s="79">
        <f>'Sect. Gov Priorities Fig 2-6 AR'!CI12</f>
        <v>0</v>
      </c>
      <c r="CJ12" s="79">
        <f>'Sect. Gov Priorities Fig 2-6 AR'!CJ12</f>
        <v>0</v>
      </c>
      <c r="CK12" s="79">
        <f>'Sect. Gov Priorities Fig 2-6 AR'!CK12</f>
        <v>0</v>
      </c>
      <c r="CL12" s="79">
        <f>'Sect. Gov Priorities Fig 2-6 AR'!CL12</f>
        <v>0</v>
      </c>
      <c r="CM12" s="79">
        <f>'Sect. Gov Priorities Fig 2-6 AR'!CM12</f>
        <v>0</v>
      </c>
      <c r="CN12" s="79">
        <f>'Sect. Gov Priorities Fig 2-6 AR'!CN12</f>
        <v>0</v>
      </c>
      <c r="CO12" s="79">
        <f>'Sect. Gov Priorities Fig 2-6 AR'!CO12</f>
        <v>0</v>
      </c>
      <c r="CP12" s="79">
        <f>'Sect. Gov Priorities Fig 2-6 AR'!CP12</f>
        <v>0</v>
      </c>
      <c r="CQ12" s="79">
        <f>'Sect. Gov Priorities Fig 2-6 AR'!CQ12</f>
        <v>0</v>
      </c>
      <c r="CR12" s="79">
        <f>'Sect. Gov Priorities Fig 2-6 AR'!CR12</f>
        <v>0</v>
      </c>
      <c r="CS12" s="79">
        <f>'Sect. Gov Priorities Fig 2-6 AR'!CS12</f>
        <v>0</v>
      </c>
      <c r="CT12" s="79">
        <f>'Sect. Gov Priorities Fig 2-6 AR'!CT12</f>
        <v>0</v>
      </c>
      <c r="CU12" s="79">
        <f>'Sect. Gov Priorities Fig 2-6 AR'!CU12</f>
        <v>0</v>
      </c>
      <c r="CV12" s="79">
        <f>'Sect. Gov Priorities Fig 2-6 AR'!CV12</f>
        <v>0</v>
      </c>
      <c r="CW12" s="79">
        <f>'Sect. Gov Priorities Fig 2-6 AR'!CW12</f>
        <v>0</v>
      </c>
      <c r="CX12" s="79">
        <f>'Sect. Gov Priorities Fig 2-6 AR'!CX12</f>
        <v>0</v>
      </c>
      <c r="CY12" s="79">
        <f>'Sect. Gov Priorities Fig 2-6 AR'!CY12</f>
        <v>0</v>
      </c>
      <c r="CZ12" s="79">
        <f>'Sect. Gov Priorities Fig 2-6 AR'!CZ12</f>
        <v>0</v>
      </c>
      <c r="DA12" s="79">
        <f>'Sect. Gov Priorities Fig 2-6 AR'!DA12</f>
        <v>0</v>
      </c>
      <c r="DB12" s="79">
        <f>'Sect. Gov Priorities Fig 2-6 AR'!DB12</f>
        <v>0</v>
      </c>
      <c r="DC12" s="79">
        <f>'Sect. Gov Priorities Fig 2-6 AR'!DC12</f>
        <v>0</v>
      </c>
      <c r="DD12" s="79">
        <f>'Sect. Gov Priorities Fig 2-6 AR'!DD12</f>
        <v>0</v>
      </c>
      <c r="DE12" s="79">
        <f>'Sect. Gov Priorities Fig 2-6 AR'!DE12</f>
        <v>0</v>
      </c>
      <c r="DF12" s="79">
        <f>'Sect. Gov Priorities Fig 2-6 AR'!DF12</f>
        <v>0</v>
      </c>
      <c r="DG12" s="79">
        <f>'Sect. Gov Priorities Fig 2-6 AR'!DG12</f>
        <v>0</v>
      </c>
      <c r="DH12" s="79">
        <f>'Sect. Gov Priorities Fig 2-6 AR'!DH12</f>
        <v>0</v>
      </c>
      <c r="DI12" s="79">
        <f>'Sect. Gov Priorities Fig 2-6 AR'!DI12</f>
        <v>0</v>
      </c>
      <c r="DJ12" s="79">
        <f>'Sect. Gov Priorities Fig 2-6 AR'!DJ12</f>
        <v>0</v>
      </c>
      <c r="DK12" s="79">
        <f>'Sect. Gov Priorities Fig 2-6 AR'!DK12</f>
        <v>0</v>
      </c>
      <c r="DL12" s="79">
        <f>'Sect. Gov Priorities Fig 2-6 AR'!DL12</f>
        <v>67.346938775510196</v>
      </c>
      <c r="DM12" s="79">
        <f>'Sect. Gov Priorities Fig 2-6 AR'!DM12</f>
        <v>58.333333333333336</v>
      </c>
      <c r="DN12" s="79">
        <f>'Sect. Gov Priorities Fig 2-6 AR'!DN12</f>
        <v>15</v>
      </c>
      <c r="DO12" s="79">
        <f>'Sect. Gov Priorities Fig 2-6 AR'!DO12</f>
        <v>11.670524691358024</v>
      </c>
      <c r="DP12" s="79">
        <f>'Sect. Gov Priorities Fig 2-6 AR'!DP12</f>
        <v>46.346280447662942</v>
      </c>
      <c r="DQ12" s="79">
        <f>'Sect. Gov Priorities Fig 2-6 AR'!DQ12</f>
        <v>14.545454545454545</v>
      </c>
      <c r="DR12" s="79">
        <f>'Sect. Gov Priorities Fig 2-6 AR'!DR12</f>
        <v>43.835616438356162</v>
      </c>
      <c r="DS12" s="79">
        <f>'Sect. Gov Priorities Fig 2-6 AR'!DS12</f>
        <v>82.456140350877192</v>
      </c>
      <c r="DT12" s="79">
        <f>'Sect. Gov Priorities Fig 2-6 AR'!DT12</f>
        <v>70</v>
      </c>
      <c r="DU12" s="79">
        <f>'Sect. Gov Priorities Fig 2-6 AR'!DU12</f>
        <v>9.3749999999999982</v>
      </c>
      <c r="DV12" s="79">
        <f>'Sect. Gov Priorities Fig 2-6 AR'!DV12</f>
        <v>28.125</v>
      </c>
      <c r="DW12" s="79">
        <f>'Sect. Gov Priorities Fig 2-6 AR'!DW12</f>
        <v>0</v>
      </c>
      <c r="DX12" s="79">
        <v>24.4131455399061</v>
      </c>
      <c r="DY12" s="79">
        <v>51.851851851851848</v>
      </c>
      <c r="DZ12" s="79">
        <v>77.5</v>
      </c>
      <c r="EA12" s="79">
        <v>0</v>
      </c>
      <c r="EB12" s="79">
        <v>6.25</v>
      </c>
      <c r="EC12" s="79">
        <v>0</v>
      </c>
      <c r="ED12" s="79">
        <v>22.89719626168224</v>
      </c>
      <c r="EE12" s="79">
        <v>42.592592592592595</v>
      </c>
      <c r="EF12" s="79">
        <v>0</v>
      </c>
      <c r="EG12" s="79">
        <v>0</v>
      </c>
      <c r="EH12" s="79">
        <v>0</v>
      </c>
      <c r="EI12" s="79">
        <v>0</v>
      </c>
      <c r="EJ12" s="102">
        <v>48.648648648648646</v>
      </c>
      <c r="EK12" s="102">
        <v>68.518518518518519</v>
      </c>
      <c r="EL12" s="102">
        <v>15</v>
      </c>
      <c r="EM12" s="102">
        <v>100</v>
      </c>
      <c r="EN12" s="102">
        <v>0</v>
      </c>
      <c r="EO12" s="102">
        <v>5.0847457627118651</v>
      </c>
      <c r="EP12" s="102">
        <v>47</v>
      </c>
      <c r="EQ12" s="102">
        <v>61</v>
      </c>
      <c r="ER12" s="102">
        <v>3</v>
      </c>
      <c r="ES12" s="102">
        <v>85</v>
      </c>
      <c r="ET12" s="102">
        <v>0</v>
      </c>
      <c r="EU12" s="102">
        <v>0</v>
      </c>
      <c r="EV12" s="102">
        <v>55.128205128205131</v>
      </c>
      <c r="EW12" s="102">
        <v>71.428571428571402</v>
      </c>
      <c r="EX12" s="102">
        <v>22.58064516129032</v>
      </c>
      <c r="EY12" s="102">
        <v>95.833333333333343</v>
      </c>
      <c r="EZ12" s="102">
        <v>12</v>
      </c>
      <c r="FA12" s="102">
        <v>0</v>
      </c>
    </row>
    <row r="13" spans="1:157" s="80" customFormat="1" ht="16.5" x14ac:dyDescent="0.3">
      <c r="A13" s="78" t="s">
        <v>145</v>
      </c>
      <c r="B13" s="79">
        <f>'Sect. Gov Priorities Fig 2-6 AR'!B13</f>
        <v>0</v>
      </c>
      <c r="C13" s="79">
        <f>'Sect. Gov Priorities Fig 2-6 AR'!C13</f>
        <v>0</v>
      </c>
      <c r="D13" s="79">
        <f>'Sect. Gov Priorities Fig 2-6 AR'!D13</f>
        <v>0</v>
      </c>
      <c r="E13" s="79">
        <f>'Sect. Gov Priorities Fig 2-6 AR'!E13</f>
        <v>0</v>
      </c>
      <c r="F13" s="79">
        <f>'Sect. Gov Priorities Fig 2-6 AR'!F13</f>
        <v>0</v>
      </c>
      <c r="G13" s="79">
        <f>'Sect. Gov Priorities Fig 2-6 AR'!G13</f>
        <v>0</v>
      </c>
      <c r="H13" s="79">
        <f>'Sect. Gov Priorities Fig 2-6 AR'!H13</f>
        <v>0</v>
      </c>
      <c r="I13" s="79">
        <f>'Sect. Gov Priorities Fig 2-6 AR'!I13</f>
        <v>0</v>
      </c>
      <c r="J13" s="79">
        <f>'Sect. Gov Priorities Fig 2-6 AR'!J13</f>
        <v>0</v>
      </c>
      <c r="K13" s="79">
        <f>'Sect. Gov Priorities Fig 2-6 AR'!K13</f>
        <v>0</v>
      </c>
      <c r="L13" s="79">
        <f>'Sect. Gov Priorities Fig 2-6 AR'!L13</f>
        <v>0</v>
      </c>
      <c r="M13" s="79">
        <f>'Sect. Gov Priorities Fig 2-6 AR'!M13</f>
        <v>0</v>
      </c>
      <c r="N13" s="79">
        <f>'Sect. Gov Priorities Fig 2-6 AR'!N13</f>
        <v>0</v>
      </c>
      <c r="O13" s="79">
        <f>'Sect. Gov Priorities Fig 2-6 AR'!O13</f>
        <v>0</v>
      </c>
      <c r="P13" s="79">
        <f>'Sect. Gov Priorities Fig 2-6 AR'!P13</f>
        <v>0</v>
      </c>
      <c r="Q13" s="79">
        <f>'Sect. Gov Priorities Fig 2-6 AR'!Q13</f>
        <v>0</v>
      </c>
      <c r="R13" s="79">
        <f>'Sect. Gov Priorities Fig 2-6 AR'!R13</f>
        <v>0</v>
      </c>
      <c r="S13" s="79">
        <f>'Sect. Gov Priorities Fig 2-6 AR'!S13</f>
        <v>0</v>
      </c>
      <c r="T13" s="79">
        <f>'Sect. Gov Priorities Fig 2-6 AR'!T13</f>
        <v>0</v>
      </c>
      <c r="U13" s="79">
        <f>'Sect. Gov Priorities Fig 2-6 AR'!U13</f>
        <v>0</v>
      </c>
      <c r="V13" s="79">
        <f>'Sect. Gov Priorities Fig 2-6 AR'!V13</f>
        <v>0</v>
      </c>
      <c r="W13" s="79">
        <f>'Sect. Gov Priorities Fig 2-6 AR'!W13</f>
        <v>0</v>
      </c>
      <c r="X13" s="79">
        <f>'Sect. Gov Priorities Fig 2-6 AR'!X13</f>
        <v>0</v>
      </c>
      <c r="Y13" s="79">
        <f>'Sect. Gov Priorities Fig 2-6 AR'!Y13</f>
        <v>0</v>
      </c>
      <c r="Z13" s="79">
        <f>'Sect. Gov Priorities Fig 2-6 AR'!Z13</f>
        <v>0</v>
      </c>
      <c r="AA13" s="79">
        <f>'Sect. Gov Priorities Fig 2-6 AR'!AA13</f>
        <v>0</v>
      </c>
      <c r="AB13" s="79">
        <f>'Sect. Gov Priorities Fig 2-6 AR'!AB13</f>
        <v>0</v>
      </c>
      <c r="AC13" s="79">
        <f>'Sect. Gov Priorities Fig 2-6 AR'!AC13</f>
        <v>0</v>
      </c>
      <c r="AD13" s="79">
        <f>'Sect. Gov Priorities Fig 2-6 AR'!AD13</f>
        <v>0</v>
      </c>
      <c r="AE13" s="79">
        <f>'Sect. Gov Priorities Fig 2-6 AR'!AE13</f>
        <v>0</v>
      </c>
      <c r="AF13" s="79">
        <f>'Sect. Gov Priorities Fig 2-6 AR'!AF13</f>
        <v>0</v>
      </c>
      <c r="AG13" s="79">
        <f>'Sect. Gov Priorities Fig 2-6 AR'!AG13</f>
        <v>0</v>
      </c>
      <c r="AH13" s="79">
        <f>'Sect. Gov Priorities Fig 2-6 AR'!AH13</f>
        <v>0</v>
      </c>
      <c r="AI13" s="79">
        <f>'Sect. Gov Priorities Fig 2-6 AR'!AI13</f>
        <v>0</v>
      </c>
      <c r="AJ13" s="79">
        <f>'Sect. Gov Priorities Fig 2-6 AR'!AJ13</f>
        <v>0</v>
      </c>
      <c r="AK13" s="79">
        <f>'Sect. Gov Priorities Fig 2-6 AR'!AK13</f>
        <v>0</v>
      </c>
      <c r="AL13" s="79">
        <f>'Sect. Gov Priorities Fig 2-6 AR'!AL13</f>
        <v>0</v>
      </c>
      <c r="AM13" s="79">
        <f>'Sect. Gov Priorities Fig 2-6 AR'!AM13</f>
        <v>0</v>
      </c>
      <c r="AN13" s="79">
        <f>'Sect. Gov Priorities Fig 2-6 AR'!AN13</f>
        <v>0</v>
      </c>
      <c r="AO13" s="79">
        <f>'Sect. Gov Priorities Fig 2-6 AR'!AO13</f>
        <v>0</v>
      </c>
      <c r="AP13" s="79">
        <f>'Sect. Gov Priorities Fig 2-6 AR'!AP13</f>
        <v>0</v>
      </c>
      <c r="AQ13" s="79">
        <f>'Sect. Gov Priorities Fig 2-6 AR'!AQ13</f>
        <v>0</v>
      </c>
      <c r="AR13" s="79">
        <f>'Sect. Gov Priorities Fig 2-6 AR'!AR13</f>
        <v>0</v>
      </c>
      <c r="AS13" s="79">
        <f>'Sect. Gov Priorities Fig 2-6 AR'!AS13</f>
        <v>0</v>
      </c>
      <c r="AT13" s="79">
        <f>'Sect. Gov Priorities Fig 2-6 AR'!AT13</f>
        <v>0</v>
      </c>
      <c r="AU13" s="79">
        <f>'Sect. Gov Priorities Fig 2-6 AR'!AU13</f>
        <v>0</v>
      </c>
      <c r="AV13" s="79">
        <f>'Sect. Gov Priorities Fig 2-6 AR'!AV13</f>
        <v>0</v>
      </c>
      <c r="AW13" s="79">
        <f>'Sect. Gov Priorities Fig 2-6 AR'!AW13</f>
        <v>0</v>
      </c>
      <c r="AX13" s="79">
        <f>'Sect. Gov Priorities Fig 2-6 AR'!AX13</f>
        <v>0</v>
      </c>
      <c r="AY13" s="79">
        <f>'Sect. Gov Priorities Fig 2-6 AR'!AY13</f>
        <v>0</v>
      </c>
      <c r="AZ13" s="79">
        <f>'Sect. Gov Priorities Fig 2-6 AR'!AZ13</f>
        <v>0</v>
      </c>
      <c r="BA13" s="79">
        <f>'Sect. Gov Priorities Fig 2-6 AR'!BA13</f>
        <v>0</v>
      </c>
      <c r="BB13" s="79">
        <f>'Sect. Gov Priorities Fig 2-6 AR'!BB13</f>
        <v>0</v>
      </c>
      <c r="BC13" s="79">
        <f>'Sect. Gov Priorities Fig 2-6 AR'!BC13</f>
        <v>0</v>
      </c>
      <c r="BD13" s="79">
        <f>'Sect. Gov Priorities Fig 2-6 AR'!BD13</f>
        <v>0</v>
      </c>
      <c r="BE13" s="79">
        <f>'Sect. Gov Priorities Fig 2-6 AR'!BE13</f>
        <v>0</v>
      </c>
      <c r="BF13" s="79">
        <f>'Sect. Gov Priorities Fig 2-6 AR'!BF13</f>
        <v>0</v>
      </c>
      <c r="BG13" s="79">
        <f>'Sect. Gov Priorities Fig 2-6 AR'!BG13</f>
        <v>0</v>
      </c>
      <c r="BH13" s="79">
        <f>'Sect. Gov Priorities Fig 2-6 AR'!BH13</f>
        <v>0</v>
      </c>
      <c r="BI13" s="79">
        <f>'Sect. Gov Priorities Fig 2-6 AR'!BI13</f>
        <v>0</v>
      </c>
      <c r="BJ13" s="79">
        <f>'Sect. Gov Priorities Fig 2-6 AR'!BJ13</f>
        <v>0</v>
      </c>
      <c r="BK13" s="79">
        <f>'Sect. Gov Priorities Fig 2-6 AR'!BK13</f>
        <v>0</v>
      </c>
      <c r="BL13" s="79">
        <f>'Sect. Gov Priorities Fig 2-6 AR'!BL13</f>
        <v>0</v>
      </c>
      <c r="BM13" s="79">
        <f>'Sect. Gov Priorities Fig 2-6 AR'!BM13</f>
        <v>0</v>
      </c>
      <c r="BN13" s="79">
        <f>'Sect. Gov Priorities Fig 2-6 AR'!BN13</f>
        <v>0</v>
      </c>
      <c r="BO13" s="79">
        <f>'Sect. Gov Priorities Fig 2-6 AR'!BO13</f>
        <v>0</v>
      </c>
      <c r="BP13" s="79">
        <f>'Sect. Gov Priorities Fig 2-6 AR'!BP13</f>
        <v>0</v>
      </c>
      <c r="BQ13" s="79">
        <f>'Sect. Gov Priorities Fig 2-6 AR'!BQ13</f>
        <v>0</v>
      </c>
      <c r="BR13" s="79">
        <f>'Sect. Gov Priorities Fig 2-6 AR'!BR13</f>
        <v>0</v>
      </c>
      <c r="BS13" s="79">
        <f>'Sect. Gov Priorities Fig 2-6 AR'!BS13</f>
        <v>0</v>
      </c>
      <c r="BT13" s="79">
        <f>'Sect. Gov Priorities Fig 2-6 AR'!BT13</f>
        <v>0</v>
      </c>
      <c r="BU13" s="79">
        <f>'Sect. Gov Priorities Fig 2-6 AR'!BU13</f>
        <v>0</v>
      </c>
      <c r="BV13" s="79">
        <f>'Sect. Gov Priorities Fig 2-6 AR'!BV13</f>
        <v>0</v>
      </c>
      <c r="BW13" s="79">
        <f>'Sect. Gov Priorities Fig 2-6 AR'!BW13</f>
        <v>0</v>
      </c>
      <c r="BX13" s="79">
        <f>'Sect. Gov Priorities Fig 2-6 AR'!BX13</f>
        <v>0</v>
      </c>
      <c r="BY13" s="79">
        <f>'Sect. Gov Priorities Fig 2-6 AR'!BY13</f>
        <v>0</v>
      </c>
      <c r="BZ13" s="79">
        <f>'Sect. Gov Priorities Fig 2-6 AR'!BZ13</f>
        <v>0</v>
      </c>
      <c r="CA13" s="79">
        <f>'Sect. Gov Priorities Fig 2-6 AR'!CA13</f>
        <v>0</v>
      </c>
      <c r="CB13" s="79">
        <f>'Sect. Gov Priorities Fig 2-6 AR'!CB13</f>
        <v>0</v>
      </c>
      <c r="CC13" s="79">
        <f>'Sect. Gov Priorities Fig 2-6 AR'!CC13</f>
        <v>0</v>
      </c>
      <c r="CD13" s="79">
        <f>'Sect. Gov Priorities Fig 2-6 AR'!CD13</f>
        <v>0</v>
      </c>
      <c r="CE13" s="79">
        <f>'Sect. Gov Priorities Fig 2-6 AR'!CE13</f>
        <v>0</v>
      </c>
      <c r="CF13" s="79">
        <f>'Sect. Gov Priorities Fig 2-6 AR'!CF13</f>
        <v>0</v>
      </c>
      <c r="CG13" s="79">
        <f>'Sect. Gov Priorities Fig 2-6 AR'!CG13</f>
        <v>0</v>
      </c>
      <c r="CH13" s="79">
        <f>'Sect. Gov Priorities Fig 2-6 AR'!CH13</f>
        <v>0</v>
      </c>
      <c r="CI13" s="79">
        <f>'Sect. Gov Priorities Fig 2-6 AR'!CI13</f>
        <v>0</v>
      </c>
      <c r="CJ13" s="79">
        <f>'Sect. Gov Priorities Fig 2-6 AR'!CJ13</f>
        <v>0</v>
      </c>
      <c r="CK13" s="79">
        <f>'Sect. Gov Priorities Fig 2-6 AR'!CK13</f>
        <v>0</v>
      </c>
      <c r="CL13" s="79">
        <f>'Sect. Gov Priorities Fig 2-6 AR'!CL13</f>
        <v>0</v>
      </c>
      <c r="CM13" s="79">
        <f>'Sect. Gov Priorities Fig 2-6 AR'!CM13</f>
        <v>0</v>
      </c>
      <c r="CN13" s="79">
        <f>'Sect. Gov Priorities Fig 2-6 AR'!CN13</f>
        <v>0</v>
      </c>
      <c r="CO13" s="79">
        <f>'Sect. Gov Priorities Fig 2-6 AR'!CO13</f>
        <v>0</v>
      </c>
      <c r="CP13" s="79">
        <f>'Sect. Gov Priorities Fig 2-6 AR'!CP13</f>
        <v>0</v>
      </c>
      <c r="CQ13" s="79">
        <f>'Sect. Gov Priorities Fig 2-6 AR'!CQ13</f>
        <v>0</v>
      </c>
      <c r="CR13" s="79">
        <f>'Sect. Gov Priorities Fig 2-6 AR'!CR13</f>
        <v>0</v>
      </c>
      <c r="CS13" s="79">
        <f>'Sect. Gov Priorities Fig 2-6 AR'!CS13</f>
        <v>0</v>
      </c>
      <c r="CT13" s="79">
        <f>'Sect. Gov Priorities Fig 2-6 AR'!CT13</f>
        <v>0</v>
      </c>
      <c r="CU13" s="79">
        <f>'Sect. Gov Priorities Fig 2-6 AR'!CU13</f>
        <v>0</v>
      </c>
      <c r="CV13" s="79">
        <f>'Sect. Gov Priorities Fig 2-6 AR'!CV13</f>
        <v>0</v>
      </c>
      <c r="CW13" s="79">
        <f>'Sect. Gov Priorities Fig 2-6 AR'!CW13</f>
        <v>0</v>
      </c>
      <c r="CX13" s="79">
        <f>'Sect. Gov Priorities Fig 2-6 AR'!CX13</f>
        <v>0</v>
      </c>
      <c r="CY13" s="79">
        <f>'Sect. Gov Priorities Fig 2-6 AR'!CY13</f>
        <v>0</v>
      </c>
      <c r="CZ13" s="79">
        <f>'Sect. Gov Priorities Fig 2-6 AR'!CZ13</f>
        <v>0</v>
      </c>
      <c r="DA13" s="79">
        <f>'Sect. Gov Priorities Fig 2-6 AR'!DA13</f>
        <v>0</v>
      </c>
      <c r="DB13" s="79">
        <f>'Sect. Gov Priorities Fig 2-6 AR'!DB13</f>
        <v>0</v>
      </c>
      <c r="DC13" s="79">
        <f>'Sect. Gov Priorities Fig 2-6 AR'!DC13</f>
        <v>0</v>
      </c>
      <c r="DD13" s="79">
        <f>'Sect. Gov Priorities Fig 2-6 AR'!DD13</f>
        <v>0</v>
      </c>
      <c r="DE13" s="79">
        <f>'Sect. Gov Priorities Fig 2-6 AR'!DE13</f>
        <v>0</v>
      </c>
      <c r="DF13" s="79">
        <f>'Sect. Gov Priorities Fig 2-6 AR'!DF13</f>
        <v>0</v>
      </c>
      <c r="DG13" s="79">
        <f>'Sect. Gov Priorities Fig 2-6 AR'!DG13</f>
        <v>0</v>
      </c>
      <c r="DH13" s="79">
        <f>'Sect. Gov Priorities Fig 2-6 AR'!DH13</f>
        <v>0</v>
      </c>
      <c r="DI13" s="79">
        <f>'Sect. Gov Priorities Fig 2-6 AR'!DI13</f>
        <v>0</v>
      </c>
      <c r="DJ13" s="79">
        <f>'Sect. Gov Priorities Fig 2-6 AR'!DJ13</f>
        <v>0</v>
      </c>
      <c r="DK13" s="79">
        <f>'Sect. Gov Priorities Fig 2-6 AR'!DK13</f>
        <v>0</v>
      </c>
      <c r="DL13" s="79">
        <f>'Sect. Gov Priorities Fig 2-6 AR'!DL13</f>
        <v>65.306122448979593</v>
      </c>
      <c r="DM13" s="79">
        <f>'Sect. Gov Priorities Fig 2-6 AR'!DM13</f>
        <v>75</v>
      </c>
      <c r="DN13" s="79">
        <f>'Sect. Gov Priorities Fig 2-6 AR'!DN13</f>
        <v>30</v>
      </c>
      <c r="DO13" s="79">
        <f>'Sect. Gov Priorities Fig 2-6 AR'!DO13</f>
        <v>35.011574074074076</v>
      </c>
      <c r="DP13" s="79">
        <f>'Sect. Gov Priorities Fig 2-6 AR'!DP13</f>
        <v>16.853192890059248</v>
      </c>
      <c r="DQ13" s="79">
        <f>'Sect. Gov Priorities Fig 2-6 AR'!DQ13</f>
        <v>21.818181818181817</v>
      </c>
      <c r="DR13" s="79">
        <f>'Sect. Gov Priorities Fig 2-6 AR'!DR13</f>
        <v>50.684931506849317</v>
      </c>
      <c r="DS13" s="79">
        <f>'Sect. Gov Priorities Fig 2-6 AR'!DS13</f>
        <v>73.684210526315795</v>
      </c>
      <c r="DT13" s="79">
        <f>'Sect. Gov Priorities Fig 2-6 AR'!DT13</f>
        <v>0</v>
      </c>
      <c r="DU13" s="79">
        <f>'Sect. Gov Priorities Fig 2-6 AR'!DU13</f>
        <v>7.03125</v>
      </c>
      <c r="DV13" s="79">
        <f>'Sect. Gov Priorities Fig 2-6 AR'!DV13</f>
        <v>0</v>
      </c>
      <c r="DW13" s="79">
        <f>'Sect. Gov Priorities Fig 2-6 AR'!DW13</f>
        <v>7.3529411764705861</v>
      </c>
      <c r="DX13" s="79">
        <v>30.985915492957737</v>
      </c>
      <c r="DY13" s="79">
        <v>40.740740740740748</v>
      </c>
      <c r="DZ13" s="79">
        <v>10</v>
      </c>
      <c r="EA13" s="79">
        <v>29.268292682926827</v>
      </c>
      <c r="EB13" s="79">
        <v>9.375</v>
      </c>
      <c r="EC13" s="79">
        <v>3.3333333333333335</v>
      </c>
      <c r="ED13" s="79">
        <v>29.439252336448597</v>
      </c>
      <c r="EE13" s="79">
        <v>49.999999999999993</v>
      </c>
      <c r="EF13" s="79">
        <v>0</v>
      </c>
      <c r="EG13" s="79">
        <v>28.260869565217391</v>
      </c>
      <c r="EH13" s="79">
        <v>0</v>
      </c>
      <c r="EI13" s="79">
        <v>4.918032786885246</v>
      </c>
      <c r="EJ13" s="102">
        <v>53.603603603603602</v>
      </c>
      <c r="EK13" s="102">
        <v>62.962962962962962</v>
      </c>
      <c r="EL13" s="102">
        <v>15</v>
      </c>
      <c r="EM13" s="102">
        <v>91.666666666666657</v>
      </c>
      <c r="EN13" s="102">
        <v>0</v>
      </c>
      <c r="EO13" s="102">
        <v>0</v>
      </c>
      <c r="EP13" s="102">
        <v>55</v>
      </c>
      <c r="EQ13" s="102">
        <v>59</v>
      </c>
      <c r="ER13" s="102">
        <v>0</v>
      </c>
      <c r="ES13" s="102">
        <v>80</v>
      </c>
      <c r="ET13" s="102">
        <v>0</v>
      </c>
      <c r="EU13" s="102">
        <v>0</v>
      </c>
      <c r="EV13" s="102">
        <v>57.692307692307686</v>
      </c>
      <c r="EW13" s="102">
        <v>69.642857142857125</v>
      </c>
      <c r="EX13" s="102">
        <v>19.35483870967742</v>
      </c>
      <c r="EY13" s="102">
        <v>89.583333333333343</v>
      </c>
      <c r="EZ13" s="102">
        <v>8</v>
      </c>
      <c r="FA13" s="102">
        <v>0</v>
      </c>
    </row>
    <row r="14" spans="1:157" s="80" customFormat="1" ht="16.5" x14ac:dyDescent="0.3">
      <c r="A14" s="78" t="s">
        <v>60</v>
      </c>
      <c r="B14" s="79">
        <f>'Sect. Gov Priorities Fig 2-6 AR'!B14</f>
        <v>0</v>
      </c>
      <c r="C14" s="79">
        <f>'Sect. Gov Priorities Fig 2-6 AR'!C14</f>
        <v>0</v>
      </c>
      <c r="D14" s="79">
        <f>'Sect. Gov Priorities Fig 2-6 AR'!D14</f>
        <v>0</v>
      </c>
      <c r="E14" s="79">
        <f>'Sect. Gov Priorities Fig 2-6 AR'!E14</f>
        <v>0</v>
      </c>
      <c r="F14" s="79">
        <f>'Sect. Gov Priorities Fig 2-6 AR'!F14</f>
        <v>0</v>
      </c>
      <c r="G14" s="79">
        <f>'Sect. Gov Priorities Fig 2-6 AR'!G14</f>
        <v>0</v>
      </c>
      <c r="H14" s="79">
        <f>'Sect. Gov Priorities Fig 2-6 AR'!H14</f>
        <v>0</v>
      </c>
      <c r="I14" s="79">
        <f>'Sect. Gov Priorities Fig 2-6 AR'!I14</f>
        <v>0</v>
      </c>
      <c r="J14" s="79">
        <f>'Sect. Gov Priorities Fig 2-6 AR'!J14</f>
        <v>0</v>
      </c>
      <c r="K14" s="79">
        <f>'Sect. Gov Priorities Fig 2-6 AR'!K14</f>
        <v>0</v>
      </c>
      <c r="L14" s="79">
        <f>'Sect. Gov Priorities Fig 2-6 AR'!L14</f>
        <v>0</v>
      </c>
      <c r="M14" s="79">
        <f>'Sect. Gov Priorities Fig 2-6 AR'!M14</f>
        <v>0</v>
      </c>
      <c r="N14" s="79">
        <f>'Sect. Gov Priorities Fig 2-6 AR'!N14</f>
        <v>0</v>
      </c>
      <c r="O14" s="79">
        <f>'Sect. Gov Priorities Fig 2-6 AR'!O14</f>
        <v>0</v>
      </c>
      <c r="P14" s="79">
        <f>'Sect. Gov Priorities Fig 2-6 AR'!P14</f>
        <v>0</v>
      </c>
      <c r="Q14" s="79">
        <f>'Sect. Gov Priorities Fig 2-6 AR'!Q14</f>
        <v>0</v>
      </c>
      <c r="R14" s="79">
        <f>'Sect. Gov Priorities Fig 2-6 AR'!R14</f>
        <v>0</v>
      </c>
      <c r="S14" s="79">
        <f>'Sect. Gov Priorities Fig 2-6 AR'!S14</f>
        <v>0</v>
      </c>
      <c r="T14" s="79">
        <f>'Sect. Gov Priorities Fig 2-6 AR'!T14</f>
        <v>0</v>
      </c>
      <c r="U14" s="79">
        <f>'Sect. Gov Priorities Fig 2-6 AR'!U14</f>
        <v>0</v>
      </c>
      <c r="V14" s="79">
        <f>'Sect. Gov Priorities Fig 2-6 AR'!V14</f>
        <v>0</v>
      </c>
      <c r="W14" s="79">
        <f>'Sect. Gov Priorities Fig 2-6 AR'!W14</f>
        <v>0</v>
      </c>
      <c r="X14" s="79">
        <f>'Sect. Gov Priorities Fig 2-6 AR'!X14</f>
        <v>0</v>
      </c>
      <c r="Y14" s="79">
        <f>'Sect. Gov Priorities Fig 2-6 AR'!Y14</f>
        <v>0</v>
      </c>
      <c r="Z14" s="79">
        <f>'Sect. Gov Priorities Fig 2-6 AR'!Z14</f>
        <v>0</v>
      </c>
      <c r="AA14" s="79">
        <f>'Sect. Gov Priorities Fig 2-6 AR'!AA14</f>
        <v>0</v>
      </c>
      <c r="AB14" s="79">
        <f>'Sect. Gov Priorities Fig 2-6 AR'!AB14</f>
        <v>0</v>
      </c>
      <c r="AC14" s="79">
        <f>'Sect. Gov Priorities Fig 2-6 AR'!AC14</f>
        <v>0</v>
      </c>
      <c r="AD14" s="79">
        <f>'Sect. Gov Priorities Fig 2-6 AR'!AD14</f>
        <v>0</v>
      </c>
      <c r="AE14" s="79">
        <f>'Sect. Gov Priorities Fig 2-6 AR'!AE14</f>
        <v>0</v>
      </c>
      <c r="AF14" s="79">
        <f>'Sect. Gov Priorities Fig 2-6 AR'!AF14</f>
        <v>0</v>
      </c>
      <c r="AG14" s="79">
        <f>'Sect. Gov Priorities Fig 2-6 AR'!AG14</f>
        <v>0</v>
      </c>
      <c r="AH14" s="79">
        <f>'Sect. Gov Priorities Fig 2-6 AR'!AH14</f>
        <v>0</v>
      </c>
      <c r="AI14" s="79">
        <f>'Sect. Gov Priorities Fig 2-6 AR'!AI14</f>
        <v>0</v>
      </c>
      <c r="AJ14" s="79">
        <f>'Sect. Gov Priorities Fig 2-6 AR'!AJ14</f>
        <v>0</v>
      </c>
      <c r="AK14" s="79">
        <f>'Sect. Gov Priorities Fig 2-6 AR'!AK14</f>
        <v>0</v>
      </c>
      <c r="AL14" s="79">
        <f>'Sect. Gov Priorities Fig 2-6 AR'!AL14</f>
        <v>0</v>
      </c>
      <c r="AM14" s="79">
        <f>'Sect. Gov Priorities Fig 2-6 AR'!AM14</f>
        <v>0</v>
      </c>
      <c r="AN14" s="79">
        <f>'Sect. Gov Priorities Fig 2-6 AR'!AN14</f>
        <v>0</v>
      </c>
      <c r="AO14" s="79">
        <f>'Sect. Gov Priorities Fig 2-6 AR'!AO14</f>
        <v>0</v>
      </c>
      <c r="AP14" s="79">
        <f>'Sect. Gov Priorities Fig 2-6 AR'!AP14</f>
        <v>0</v>
      </c>
      <c r="AQ14" s="79">
        <f>'Sect. Gov Priorities Fig 2-6 AR'!AQ14</f>
        <v>0</v>
      </c>
      <c r="AR14" s="79">
        <f>'Sect. Gov Priorities Fig 2-6 AR'!AR14</f>
        <v>0</v>
      </c>
      <c r="AS14" s="79">
        <f>'Sect. Gov Priorities Fig 2-6 AR'!AS14</f>
        <v>0</v>
      </c>
      <c r="AT14" s="79">
        <f>'Sect. Gov Priorities Fig 2-6 AR'!AT14</f>
        <v>0</v>
      </c>
      <c r="AU14" s="79">
        <f>'Sect. Gov Priorities Fig 2-6 AR'!AU14</f>
        <v>0</v>
      </c>
      <c r="AV14" s="79">
        <f>'Sect. Gov Priorities Fig 2-6 AR'!AV14</f>
        <v>0</v>
      </c>
      <c r="AW14" s="79">
        <f>'Sect. Gov Priorities Fig 2-6 AR'!AW14</f>
        <v>0</v>
      </c>
      <c r="AX14" s="79">
        <f>'Sect. Gov Priorities Fig 2-6 AR'!AX14</f>
        <v>0</v>
      </c>
      <c r="AY14" s="79">
        <f>'Sect. Gov Priorities Fig 2-6 AR'!AY14</f>
        <v>0</v>
      </c>
      <c r="AZ14" s="79">
        <f>'Sect. Gov Priorities Fig 2-6 AR'!AZ14</f>
        <v>0</v>
      </c>
      <c r="BA14" s="79">
        <f>'Sect. Gov Priorities Fig 2-6 AR'!BA14</f>
        <v>0</v>
      </c>
      <c r="BB14" s="79">
        <f>'Sect. Gov Priorities Fig 2-6 AR'!BB14</f>
        <v>0</v>
      </c>
      <c r="BC14" s="79">
        <f>'Sect. Gov Priorities Fig 2-6 AR'!BC14</f>
        <v>0</v>
      </c>
      <c r="BD14" s="79">
        <f>'Sect. Gov Priorities Fig 2-6 AR'!BD14</f>
        <v>0</v>
      </c>
      <c r="BE14" s="79">
        <f>'Sect. Gov Priorities Fig 2-6 AR'!BE14</f>
        <v>0</v>
      </c>
      <c r="BF14" s="79">
        <f>'Sect. Gov Priorities Fig 2-6 AR'!BF14</f>
        <v>0</v>
      </c>
      <c r="BG14" s="79">
        <f>'Sect. Gov Priorities Fig 2-6 AR'!BG14</f>
        <v>0</v>
      </c>
      <c r="BH14" s="79">
        <f>'Sect. Gov Priorities Fig 2-6 AR'!BH14</f>
        <v>0</v>
      </c>
      <c r="BI14" s="79">
        <f>'Sect. Gov Priorities Fig 2-6 AR'!BI14</f>
        <v>0</v>
      </c>
      <c r="BJ14" s="79">
        <f>'Sect. Gov Priorities Fig 2-6 AR'!BJ14</f>
        <v>0</v>
      </c>
      <c r="BK14" s="79">
        <f>'Sect. Gov Priorities Fig 2-6 AR'!BK14</f>
        <v>0</v>
      </c>
      <c r="BL14" s="79">
        <f>'Sect. Gov Priorities Fig 2-6 AR'!BL14</f>
        <v>0</v>
      </c>
      <c r="BM14" s="79">
        <f>'Sect. Gov Priorities Fig 2-6 AR'!BM14</f>
        <v>0</v>
      </c>
      <c r="BN14" s="79">
        <f>'Sect. Gov Priorities Fig 2-6 AR'!BN14</f>
        <v>0</v>
      </c>
      <c r="BO14" s="79">
        <f>'Sect. Gov Priorities Fig 2-6 AR'!BO14</f>
        <v>0</v>
      </c>
      <c r="BP14" s="79">
        <f>'Sect. Gov Priorities Fig 2-6 AR'!BP14</f>
        <v>0</v>
      </c>
      <c r="BQ14" s="79">
        <f>'Sect. Gov Priorities Fig 2-6 AR'!BQ14</f>
        <v>0</v>
      </c>
      <c r="BR14" s="79">
        <f>'Sect. Gov Priorities Fig 2-6 AR'!BR14</f>
        <v>0</v>
      </c>
      <c r="BS14" s="79">
        <f>'Sect. Gov Priorities Fig 2-6 AR'!BS14</f>
        <v>0</v>
      </c>
      <c r="BT14" s="79">
        <f>'Sect. Gov Priorities Fig 2-6 AR'!BT14</f>
        <v>0</v>
      </c>
      <c r="BU14" s="79">
        <f>'Sect. Gov Priorities Fig 2-6 AR'!BU14</f>
        <v>0</v>
      </c>
      <c r="BV14" s="79">
        <f>'Sect. Gov Priorities Fig 2-6 AR'!BV14</f>
        <v>0</v>
      </c>
      <c r="BW14" s="79">
        <f>'Sect. Gov Priorities Fig 2-6 AR'!BW14</f>
        <v>0</v>
      </c>
      <c r="BX14" s="79">
        <f>'Sect. Gov Priorities Fig 2-6 AR'!BX14</f>
        <v>0</v>
      </c>
      <c r="BY14" s="79">
        <f>'Sect. Gov Priorities Fig 2-6 AR'!BY14</f>
        <v>0</v>
      </c>
      <c r="BZ14" s="79">
        <f>'Sect. Gov Priorities Fig 2-6 AR'!BZ14</f>
        <v>0</v>
      </c>
      <c r="CA14" s="79">
        <f>'Sect. Gov Priorities Fig 2-6 AR'!CA14</f>
        <v>0</v>
      </c>
      <c r="CB14" s="79">
        <f>'Sect. Gov Priorities Fig 2-6 AR'!CB14</f>
        <v>0</v>
      </c>
      <c r="CC14" s="79">
        <f>'Sect. Gov Priorities Fig 2-6 AR'!CC14</f>
        <v>0</v>
      </c>
      <c r="CD14" s="79">
        <f>'Sect. Gov Priorities Fig 2-6 AR'!CD14</f>
        <v>0</v>
      </c>
      <c r="CE14" s="79">
        <f>'Sect. Gov Priorities Fig 2-6 AR'!CE14</f>
        <v>0</v>
      </c>
      <c r="CF14" s="79">
        <f>'Sect. Gov Priorities Fig 2-6 AR'!CF14</f>
        <v>0</v>
      </c>
      <c r="CG14" s="79">
        <f>'Sect. Gov Priorities Fig 2-6 AR'!CG14</f>
        <v>0</v>
      </c>
      <c r="CH14" s="79">
        <f>'Sect. Gov Priorities Fig 2-6 AR'!CH14</f>
        <v>0</v>
      </c>
      <c r="CI14" s="79">
        <f>'Sect. Gov Priorities Fig 2-6 AR'!CI14</f>
        <v>0</v>
      </c>
      <c r="CJ14" s="79">
        <f>'Sect. Gov Priorities Fig 2-6 AR'!CJ14</f>
        <v>0</v>
      </c>
      <c r="CK14" s="79">
        <f>'Sect. Gov Priorities Fig 2-6 AR'!CK14</f>
        <v>0</v>
      </c>
      <c r="CL14" s="79">
        <f>'Sect. Gov Priorities Fig 2-6 AR'!CL14</f>
        <v>0</v>
      </c>
      <c r="CM14" s="79">
        <f>'Sect. Gov Priorities Fig 2-6 AR'!CM14</f>
        <v>0</v>
      </c>
      <c r="CN14" s="79">
        <f>'Sect. Gov Priorities Fig 2-6 AR'!CN14</f>
        <v>0</v>
      </c>
      <c r="CO14" s="79">
        <f>'Sect. Gov Priorities Fig 2-6 AR'!CO14</f>
        <v>0</v>
      </c>
      <c r="CP14" s="79">
        <f>'Sect. Gov Priorities Fig 2-6 AR'!CP14</f>
        <v>0</v>
      </c>
      <c r="CQ14" s="79">
        <f>'Sect. Gov Priorities Fig 2-6 AR'!CQ14</f>
        <v>0</v>
      </c>
      <c r="CR14" s="79">
        <f>'Sect. Gov Priorities Fig 2-6 AR'!CR14</f>
        <v>0</v>
      </c>
      <c r="CS14" s="79">
        <f>'Sect. Gov Priorities Fig 2-6 AR'!CS14</f>
        <v>0</v>
      </c>
      <c r="CT14" s="79">
        <f>'Sect. Gov Priorities Fig 2-6 AR'!CT14</f>
        <v>0</v>
      </c>
      <c r="CU14" s="79">
        <f>'Sect. Gov Priorities Fig 2-6 AR'!CU14</f>
        <v>0</v>
      </c>
      <c r="CV14" s="79">
        <f>'Sect. Gov Priorities Fig 2-6 AR'!CV14</f>
        <v>0</v>
      </c>
      <c r="CW14" s="79">
        <f>'Sect. Gov Priorities Fig 2-6 AR'!CW14</f>
        <v>0</v>
      </c>
      <c r="CX14" s="79">
        <f>'Sect. Gov Priorities Fig 2-6 AR'!CX14</f>
        <v>0</v>
      </c>
      <c r="CY14" s="79">
        <f>'Sect. Gov Priorities Fig 2-6 AR'!CY14</f>
        <v>0</v>
      </c>
      <c r="CZ14" s="79">
        <f>'Sect. Gov Priorities Fig 2-6 AR'!CZ14</f>
        <v>0</v>
      </c>
      <c r="DA14" s="79">
        <f>'Sect. Gov Priorities Fig 2-6 AR'!DA14</f>
        <v>0</v>
      </c>
      <c r="DB14" s="79">
        <f>'Sect. Gov Priorities Fig 2-6 AR'!DB14</f>
        <v>0</v>
      </c>
      <c r="DC14" s="79">
        <f>'Sect. Gov Priorities Fig 2-6 AR'!DC14</f>
        <v>0</v>
      </c>
      <c r="DD14" s="79">
        <f>'Sect. Gov Priorities Fig 2-6 AR'!DD14</f>
        <v>0</v>
      </c>
      <c r="DE14" s="79">
        <f>'Sect. Gov Priorities Fig 2-6 AR'!DE14</f>
        <v>0</v>
      </c>
      <c r="DF14" s="79">
        <f>'Sect. Gov Priorities Fig 2-6 AR'!DF14</f>
        <v>0</v>
      </c>
      <c r="DG14" s="79">
        <f>'Sect. Gov Priorities Fig 2-6 AR'!DG14</f>
        <v>0</v>
      </c>
      <c r="DH14" s="79">
        <f>'Sect. Gov Priorities Fig 2-6 AR'!DH14</f>
        <v>0</v>
      </c>
      <c r="DI14" s="79">
        <f>'Sect. Gov Priorities Fig 2-6 AR'!DI14</f>
        <v>0</v>
      </c>
      <c r="DJ14" s="79">
        <f>'Sect. Gov Priorities Fig 2-6 AR'!DJ14</f>
        <v>0</v>
      </c>
      <c r="DK14" s="79">
        <f>'Sect. Gov Priorities Fig 2-6 AR'!DK14</f>
        <v>0</v>
      </c>
      <c r="DL14" s="79">
        <f>'Sect. Gov Priorities Fig 2-6 AR'!DL14</f>
        <v>60.151610198805173</v>
      </c>
      <c r="DM14" s="79">
        <f>'Sect. Gov Priorities Fig 2-6 AR'!DM14</f>
        <v>91.666666666666686</v>
      </c>
      <c r="DN14" s="79">
        <f>'Sect. Gov Priorities Fig 2-6 AR'!DN14</f>
        <v>72.5</v>
      </c>
      <c r="DO14" s="79">
        <f>'Sect. Gov Priorities Fig 2-6 AR'!DO14</f>
        <v>2.7777777777777781</v>
      </c>
      <c r="DP14" s="79">
        <f>'Sect. Gov Priorities Fig 2-6 AR'!DP14</f>
        <v>42.132982225148112</v>
      </c>
      <c r="DQ14" s="79">
        <f>'Sect. Gov Priorities Fig 2-6 AR'!DQ14</f>
        <v>16.363636363636363</v>
      </c>
      <c r="DR14" s="79">
        <f>'Sect. Gov Priorities Fig 2-6 AR'!DR14</f>
        <v>88.904035502344854</v>
      </c>
      <c r="DS14" s="79">
        <f>'Sect. Gov Priorities Fig 2-6 AR'!DS14</f>
        <v>63.15789473684211</v>
      </c>
      <c r="DT14" s="79" t="str">
        <f>'Sect. Gov Priorities Fig 2-6 AR'!DT14</f>
        <v>-</v>
      </c>
      <c r="DU14" s="79">
        <f>'Sect. Gov Priorities Fig 2-6 AR'!DU14</f>
        <v>100</v>
      </c>
      <c r="DV14" s="79">
        <f>'Sect. Gov Priorities Fig 2-6 AR'!DV14</f>
        <v>65.625</v>
      </c>
      <c r="DW14" s="79" t="str">
        <f>'Sect. Gov Priorities Fig 2-6 AR'!DW14</f>
        <v>-</v>
      </c>
      <c r="DX14" s="79">
        <v>59.40404330746383</v>
      </c>
      <c r="DY14" s="79" t="s">
        <v>172</v>
      </c>
      <c r="DZ14" s="79" t="s">
        <v>172</v>
      </c>
      <c r="EA14" s="79">
        <v>0</v>
      </c>
      <c r="EB14" s="79">
        <v>64</v>
      </c>
      <c r="EC14" s="79" t="s">
        <v>172</v>
      </c>
      <c r="ED14" s="79">
        <v>33.644859813084111</v>
      </c>
      <c r="EE14" s="79">
        <v>14.814814814814817</v>
      </c>
      <c r="EF14" s="79">
        <v>0</v>
      </c>
      <c r="EG14" s="79">
        <v>8.6956521739130412</v>
      </c>
      <c r="EH14" s="79">
        <v>43.75</v>
      </c>
      <c r="EI14" s="79">
        <v>0</v>
      </c>
      <c r="EJ14" s="102">
        <v>52.702702702702695</v>
      </c>
      <c r="EK14" s="102">
        <v>35.185185185185183</v>
      </c>
      <c r="EL14" s="102">
        <v>0</v>
      </c>
      <c r="EM14" s="102">
        <v>62.499999999999986</v>
      </c>
      <c r="EN14" s="102">
        <v>37.5</v>
      </c>
      <c r="EO14" s="102">
        <v>0</v>
      </c>
      <c r="EP14" s="102">
        <v>41</v>
      </c>
      <c r="EQ14" s="102">
        <v>5</v>
      </c>
      <c r="ER14" s="102">
        <v>3</v>
      </c>
      <c r="ES14" s="102">
        <v>100</v>
      </c>
      <c r="ET14" s="102">
        <v>47</v>
      </c>
      <c r="EU14" s="102">
        <v>0</v>
      </c>
      <c r="EV14" s="102">
        <v>46.581196581196586</v>
      </c>
      <c r="EW14" s="102">
        <v>7.1428571428571423</v>
      </c>
      <c r="EX14" s="102">
        <v>9.67741935483871</v>
      </c>
      <c r="EY14" s="102">
        <v>54.16666666666665</v>
      </c>
      <c r="EZ14" s="102">
        <v>24</v>
      </c>
      <c r="FA14" s="102">
        <v>0</v>
      </c>
    </row>
    <row r="15" spans="1:157" s="80" customFormat="1" ht="16.5" x14ac:dyDescent="0.3">
      <c r="A15" s="78" t="s">
        <v>149</v>
      </c>
      <c r="B15" s="79">
        <f>'Sect. Gov Priorities Fig 2-6 AR'!B15</f>
        <v>0</v>
      </c>
      <c r="C15" s="79">
        <f>'Sect. Gov Priorities Fig 2-6 AR'!C15</f>
        <v>0</v>
      </c>
      <c r="D15" s="79">
        <f>'Sect. Gov Priorities Fig 2-6 AR'!D15</f>
        <v>0</v>
      </c>
      <c r="E15" s="79">
        <f>'Sect. Gov Priorities Fig 2-6 AR'!E15</f>
        <v>0</v>
      </c>
      <c r="F15" s="79">
        <f>'Sect. Gov Priorities Fig 2-6 AR'!F15</f>
        <v>0</v>
      </c>
      <c r="G15" s="79">
        <f>'Sect. Gov Priorities Fig 2-6 AR'!G15</f>
        <v>0</v>
      </c>
      <c r="H15" s="79">
        <f>'Sect. Gov Priorities Fig 2-6 AR'!H15</f>
        <v>0</v>
      </c>
      <c r="I15" s="79">
        <f>'Sect. Gov Priorities Fig 2-6 AR'!I15</f>
        <v>0</v>
      </c>
      <c r="J15" s="79">
        <f>'Sect. Gov Priorities Fig 2-6 AR'!J15</f>
        <v>0</v>
      </c>
      <c r="K15" s="79">
        <f>'Sect. Gov Priorities Fig 2-6 AR'!K15</f>
        <v>0</v>
      </c>
      <c r="L15" s="79">
        <f>'Sect. Gov Priorities Fig 2-6 AR'!L15</f>
        <v>0</v>
      </c>
      <c r="M15" s="79">
        <f>'Sect. Gov Priorities Fig 2-6 AR'!M15</f>
        <v>0</v>
      </c>
      <c r="N15" s="79">
        <f>'Sect. Gov Priorities Fig 2-6 AR'!N15</f>
        <v>0</v>
      </c>
      <c r="O15" s="79">
        <f>'Sect. Gov Priorities Fig 2-6 AR'!O15</f>
        <v>0</v>
      </c>
      <c r="P15" s="79">
        <f>'Sect. Gov Priorities Fig 2-6 AR'!P15</f>
        <v>0</v>
      </c>
      <c r="Q15" s="79">
        <f>'Sect. Gov Priorities Fig 2-6 AR'!Q15</f>
        <v>0</v>
      </c>
      <c r="R15" s="79">
        <f>'Sect. Gov Priorities Fig 2-6 AR'!R15</f>
        <v>0</v>
      </c>
      <c r="S15" s="79">
        <f>'Sect. Gov Priorities Fig 2-6 AR'!S15</f>
        <v>0</v>
      </c>
      <c r="T15" s="79">
        <f>'Sect. Gov Priorities Fig 2-6 AR'!T15</f>
        <v>0</v>
      </c>
      <c r="U15" s="79">
        <f>'Sect. Gov Priorities Fig 2-6 AR'!U15</f>
        <v>0</v>
      </c>
      <c r="V15" s="79">
        <f>'Sect. Gov Priorities Fig 2-6 AR'!V15</f>
        <v>0</v>
      </c>
      <c r="W15" s="79">
        <f>'Sect. Gov Priorities Fig 2-6 AR'!W15</f>
        <v>0</v>
      </c>
      <c r="X15" s="79">
        <f>'Sect. Gov Priorities Fig 2-6 AR'!X15</f>
        <v>0</v>
      </c>
      <c r="Y15" s="79">
        <f>'Sect. Gov Priorities Fig 2-6 AR'!Y15</f>
        <v>0</v>
      </c>
      <c r="Z15" s="79">
        <f>'Sect. Gov Priorities Fig 2-6 AR'!Z15</f>
        <v>0</v>
      </c>
      <c r="AA15" s="79">
        <f>'Sect. Gov Priorities Fig 2-6 AR'!AA15</f>
        <v>0</v>
      </c>
      <c r="AB15" s="79">
        <f>'Sect. Gov Priorities Fig 2-6 AR'!AB15</f>
        <v>0</v>
      </c>
      <c r="AC15" s="79">
        <f>'Sect. Gov Priorities Fig 2-6 AR'!AC15</f>
        <v>0</v>
      </c>
      <c r="AD15" s="79">
        <f>'Sect. Gov Priorities Fig 2-6 AR'!AD15</f>
        <v>0</v>
      </c>
      <c r="AE15" s="79">
        <f>'Sect. Gov Priorities Fig 2-6 AR'!AE15</f>
        <v>0</v>
      </c>
      <c r="AF15" s="79">
        <f>'Sect. Gov Priorities Fig 2-6 AR'!AF15</f>
        <v>0</v>
      </c>
      <c r="AG15" s="79">
        <f>'Sect. Gov Priorities Fig 2-6 AR'!AG15</f>
        <v>0</v>
      </c>
      <c r="AH15" s="79">
        <f>'Sect. Gov Priorities Fig 2-6 AR'!AH15</f>
        <v>0</v>
      </c>
      <c r="AI15" s="79">
        <f>'Sect. Gov Priorities Fig 2-6 AR'!AI15</f>
        <v>0</v>
      </c>
      <c r="AJ15" s="79">
        <f>'Sect. Gov Priorities Fig 2-6 AR'!AJ15</f>
        <v>0</v>
      </c>
      <c r="AK15" s="79">
        <f>'Sect. Gov Priorities Fig 2-6 AR'!AK15</f>
        <v>0</v>
      </c>
      <c r="AL15" s="79">
        <f>'Sect. Gov Priorities Fig 2-6 AR'!AL15</f>
        <v>0</v>
      </c>
      <c r="AM15" s="79">
        <f>'Sect. Gov Priorities Fig 2-6 AR'!AM15</f>
        <v>0</v>
      </c>
      <c r="AN15" s="79">
        <f>'Sect. Gov Priorities Fig 2-6 AR'!AN15</f>
        <v>0</v>
      </c>
      <c r="AO15" s="79">
        <f>'Sect. Gov Priorities Fig 2-6 AR'!AO15</f>
        <v>0</v>
      </c>
      <c r="AP15" s="79">
        <f>'Sect. Gov Priorities Fig 2-6 AR'!AP15</f>
        <v>0</v>
      </c>
      <c r="AQ15" s="79">
        <f>'Sect. Gov Priorities Fig 2-6 AR'!AQ15</f>
        <v>0</v>
      </c>
      <c r="AR15" s="79">
        <f>'Sect. Gov Priorities Fig 2-6 AR'!AR15</f>
        <v>0</v>
      </c>
      <c r="AS15" s="79">
        <f>'Sect. Gov Priorities Fig 2-6 AR'!AS15</f>
        <v>0</v>
      </c>
      <c r="AT15" s="79">
        <f>'Sect. Gov Priorities Fig 2-6 AR'!AT15</f>
        <v>0</v>
      </c>
      <c r="AU15" s="79">
        <f>'Sect. Gov Priorities Fig 2-6 AR'!AU15</f>
        <v>0</v>
      </c>
      <c r="AV15" s="79">
        <f>'Sect. Gov Priorities Fig 2-6 AR'!AV15</f>
        <v>0</v>
      </c>
      <c r="AW15" s="79">
        <f>'Sect. Gov Priorities Fig 2-6 AR'!AW15</f>
        <v>0</v>
      </c>
      <c r="AX15" s="79">
        <f>'Sect. Gov Priorities Fig 2-6 AR'!AX15</f>
        <v>0</v>
      </c>
      <c r="AY15" s="79">
        <f>'Sect. Gov Priorities Fig 2-6 AR'!AY15</f>
        <v>0</v>
      </c>
      <c r="AZ15" s="79">
        <f>'Sect. Gov Priorities Fig 2-6 AR'!AZ15</f>
        <v>0</v>
      </c>
      <c r="BA15" s="79">
        <f>'Sect. Gov Priorities Fig 2-6 AR'!BA15</f>
        <v>0</v>
      </c>
      <c r="BB15" s="79">
        <f>'Sect. Gov Priorities Fig 2-6 AR'!BB15</f>
        <v>0</v>
      </c>
      <c r="BC15" s="79">
        <f>'Sect. Gov Priorities Fig 2-6 AR'!BC15</f>
        <v>0</v>
      </c>
      <c r="BD15" s="79">
        <f>'Sect. Gov Priorities Fig 2-6 AR'!BD15</f>
        <v>0</v>
      </c>
      <c r="BE15" s="79">
        <f>'Sect. Gov Priorities Fig 2-6 AR'!BE15</f>
        <v>0</v>
      </c>
      <c r="BF15" s="79">
        <f>'Sect. Gov Priorities Fig 2-6 AR'!BF15</f>
        <v>0</v>
      </c>
      <c r="BG15" s="79">
        <f>'Sect. Gov Priorities Fig 2-6 AR'!BG15</f>
        <v>0</v>
      </c>
      <c r="BH15" s="79">
        <f>'Sect. Gov Priorities Fig 2-6 AR'!BH15</f>
        <v>0</v>
      </c>
      <c r="BI15" s="79">
        <f>'Sect. Gov Priorities Fig 2-6 AR'!BI15</f>
        <v>0</v>
      </c>
      <c r="BJ15" s="79">
        <f>'Sect. Gov Priorities Fig 2-6 AR'!BJ15</f>
        <v>0</v>
      </c>
      <c r="BK15" s="79">
        <f>'Sect. Gov Priorities Fig 2-6 AR'!BK15</f>
        <v>0</v>
      </c>
      <c r="BL15" s="79">
        <f>'Sect. Gov Priorities Fig 2-6 AR'!BL15</f>
        <v>0</v>
      </c>
      <c r="BM15" s="79">
        <f>'Sect. Gov Priorities Fig 2-6 AR'!BM15</f>
        <v>0</v>
      </c>
      <c r="BN15" s="79">
        <f>'Sect. Gov Priorities Fig 2-6 AR'!BN15</f>
        <v>0</v>
      </c>
      <c r="BO15" s="79">
        <f>'Sect. Gov Priorities Fig 2-6 AR'!BO15</f>
        <v>0</v>
      </c>
      <c r="BP15" s="79">
        <f>'Sect. Gov Priorities Fig 2-6 AR'!BP15</f>
        <v>0</v>
      </c>
      <c r="BQ15" s="79">
        <f>'Sect. Gov Priorities Fig 2-6 AR'!BQ15</f>
        <v>0</v>
      </c>
      <c r="BR15" s="79">
        <f>'Sect. Gov Priorities Fig 2-6 AR'!BR15</f>
        <v>0</v>
      </c>
      <c r="BS15" s="79">
        <f>'Sect. Gov Priorities Fig 2-6 AR'!BS15</f>
        <v>0</v>
      </c>
      <c r="BT15" s="79">
        <f>'Sect. Gov Priorities Fig 2-6 AR'!BT15</f>
        <v>0</v>
      </c>
      <c r="BU15" s="79">
        <f>'Sect. Gov Priorities Fig 2-6 AR'!BU15</f>
        <v>0</v>
      </c>
      <c r="BV15" s="79">
        <f>'Sect. Gov Priorities Fig 2-6 AR'!BV15</f>
        <v>0</v>
      </c>
      <c r="BW15" s="79">
        <f>'Sect. Gov Priorities Fig 2-6 AR'!BW15</f>
        <v>0</v>
      </c>
      <c r="BX15" s="79">
        <f>'Sect. Gov Priorities Fig 2-6 AR'!BX15</f>
        <v>0</v>
      </c>
      <c r="BY15" s="79">
        <f>'Sect. Gov Priorities Fig 2-6 AR'!BY15</f>
        <v>0</v>
      </c>
      <c r="BZ15" s="79">
        <f>'Sect. Gov Priorities Fig 2-6 AR'!BZ15</f>
        <v>0</v>
      </c>
      <c r="CA15" s="79">
        <f>'Sect. Gov Priorities Fig 2-6 AR'!CA15</f>
        <v>0</v>
      </c>
      <c r="CB15" s="79">
        <f>'Sect. Gov Priorities Fig 2-6 AR'!CB15</f>
        <v>0</v>
      </c>
      <c r="CC15" s="79">
        <f>'Sect. Gov Priorities Fig 2-6 AR'!CC15</f>
        <v>0</v>
      </c>
      <c r="CD15" s="79">
        <f>'Sect. Gov Priorities Fig 2-6 AR'!CD15</f>
        <v>0</v>
      </c>
      <c r="CE15" s="79">
        <f>'Sect. Gov Priorities Fig 2-6 AR'!CE15</f>
        <v>0</v>
      </c>
      <c r="CF15" s="79">
        <f>'Sect. Gov Priorities Fig 2-6 AR'!CF15</f>
        <v>0</v>
      </c>
      <c r="CG15" s="79">
        <f>'Sect. Gov Priorities Fig 2-6 AR'!CG15</f>
        <v>0</v>
      </c>
      <c r="CH15" s="79">
        <f>'Sect. Gov Priorities Fig 2-6 AR'!CH15</f>
        <v>0</v>
      </c>
      <c r="CI15" s="79">
        <f>'Sect. Gov Priorities Fig 2-6 AR'!CI15</f>
        <v>0</v>
      </c>
      <c r="CJ15" s="79">
        <f>'Sect. Gov Priorities Fig 2-6 AR'!CJ15</f>
        <v>0</v>
      </c>
      <c r="CK15" s="79">
        <f>'Sect. Gov Priorities Fig 2-6 AR'!CK15</f>
        <v>0</v>
      </c>
      <c r="CL15" s="79">
        <f>'Sect. Gov Priorities Fig 2-6 AR'!CL15</f>
        <v>0</v>
      </c>
      <c r="CM15" s="79">
        <f>'Sect. Gov Priorities Fig 2-6 AR'!CM15</f>
        <v>0</v>
      </c>
      <c r="CN15" s="79">
        <f>'Sect. Gov Priorities Fig 2-6 AR'!CN15</f>
        <v>0</v>
      </c>
      <c r="CO15" s="79">
        <f>'Sect. Gov Priorities Fig 2-6 AR'!CO15</f>
        <v>0</v>
      </c>
      <c r="CP15" s="79">
        <f>'Sect. Gov Priorities Fig 2-6 AR'!CP15</f>
        <v>0</v>
      </c>
      <c r="CQ15" s="79">
        <f>'Sect. Gov Priorities Fig 2-6 AR'!CQ15</f>
        <v>0</v>
      </c>
      <c r="CR15" s="79">
        <f>'Sect. Gov Priorities Fig 2-6 AR'!CR15</f>
        <v>0</v>
      </c>
      <c r="CS15" s="79">
        <f>'Sect. Gov Priorities Fig 2-6 AR'!CS15</f>
        <v>0</v>
      </c>
      <c r="CT15" s="79">
        <f>'Sect. Gov Priorities Fig 2-6 AR'!CT15</f>
        <v>0</v>
      </c>
      <c r="CU15" s="79">
        <f>'Sect. Gov Priorities Fig 2-6 AR'!CU15</f>
        <v>0</v>
      </c>
      <c r="CV15" s="79">
        <f>'Sect. Gov Priorities Fig 2-6 AR'!CV15</f>
        <v>0</v>
      </c>
      <c r="CW15" s="79">
        <f>'Sect. Gov Priorities Fig 2-6 AR'!CW15</f>
        <v>0</v>
      </c>
      <c r="CX15" s="79">
        <f>'Sect. Gov Priorities Fig 2-6 AR'!CX15</f>
        <v>0</v>
      </c>
      <c r="CY15" s="79">
        <f>'Sect. Gov Priorities Fig 2-6 AR'!CY15</f>
        <v>0</v>
      </c>
      <c r="CZ15" s="79">
        <f>'Sect. Gov Priorities Fig 2-6 AR'!CZ15</f>
        <v>0</v>
      </c>
      <c r="DA15" s="79">
        <f>'Sect. Gov Priorities Fig 2-6 AR'!DA15</f>
        <v>0</v>
      </c>
      <c r="DB15" s="79">
        <f>'Sect. Gov Priorities Fig 2-6 AR'!DB15</f>
        <v>0</v>
      </c>
      <c r="DC15" s="79">
        <f>'Sect. Gov Priorities Fig 2-6 AR'!DC15</f>
        <v>0</v>
      </c>
      <c r="DD15" s="79">
        <f>'Sect. Gov Priorities Fig 2-6 AR'!DD15</f>
        <v>0</v>
      </c>
      <c r="DE15" s="79">
        <f>'Sect. Gov Priorities Fig 2-6 AR'!DE15</f>
        <v>0</v>
      </c>
      <c r="DF15" s="79">
        <f>'Sect. Gov Priorities Fig 2-6 AR'!DF15</f>
        <v>0</v>
      </c>
      <c r="DG15" s="79">
        <f>'Sect. Gov Priorities Fig 2-6 AR'!DG15</f>
        <v>0</v>
      </c>
      <c r="DH15" s="79">
        <f>'Sect. Gov Priorities Fig 2-6 AR'!DH15</f>
        <v>0</v>
      </c>
      <c r="DI15" s="79">
        <f>'Sect. Gov Priorities Fig 2-6 AR'!DI15</f>
        <v>0</v>
      </c>
      <c r="DJ15" s="79">
        <f>'Sect. Gov Priorities Fig 2-6 AR'!DJ15</f>
        <v>0</v>
      </c>
      <c r="DK15" s="79">
        <f>'Sect. Gov Priorities Fig 2-6 AR'!DK15</f>
        <v>0</v>
      </c>
      <c r="DL15" s="79">
        <f>'Sect. Gov Priorities Fig 2-6 AR'!DL15</f>
        <v>49.789171867093941</v>
      </c>
      <c r="DM15" s="79">
        <f>'Sect. Gov Priorities Fig 2-6 AR'!DM15</f>
        <v>50.739644970414211</v>
      </c>
      <c r="DN15" s="79">
        <f>'Sect. Gov Priorities Fig 2-6 AR'!DN15</f>
        <v>0</v>
      </c>
      <c r="DO15" s="79">
        <f>'Sect. Gov Priorities Fig 2-6 AR'!DO15</f>
        <v>74.691358024691368</v>
      </c>
      <c r="DP15" s="79">
        <f>'Sect. Gov Priorities Fig 2-6 AR'!DP15</f>
        <v>33.706385780118495</v>
      </c>
      <c r="DQ15" s="79" t="str">
        <f>'Sect. Gov Priorities Fig 2-6 AR'!DQ15</f>
        <v>-</v>
      </c>
      <c r="DR15" s="79">
        <f>'Sect. Gov Priorities Fig 2-6 AR'!DR15</f>
        <v>53.834317803496866</v>
      </c>
      <c r="DS15" s="79">
        <f>'Sect. Gov Priorities Fig 2-6 AR'!DS15</f>
        <v>63.15789473684211</v>
      </c>
      <c r="DT15" s="79">
        <f>'Sect. Gov Priorities Fig 2-6 AR'!DT15</f>
        <v>5</v>
      </c>
      <c r="DU15" s="79">
        <f>'Sect. Gov Priorities Fig 2-6 AR'!DU15</f>
        <v>7.03125</v>
      </c>
      <c r="DV15" s="79">
        <f>'Sect. Gov Priorities Fig 2-6 AR'!DV15</f>
        <v>28.125</v>
      </c>
      <c r="DW15" s="79">
        <f>'Sect. Gov Priorities Fig 2-6 AR'!DW15</f>
        <v>0</v>
      </c>
      <c r="DX15" s="79">
        <v>37.558685446009385</v>
      </c>
      <c r="DY15" s="79">
        <v>38.888888888888893</v>
      </c>
      <c r="DZ15" s="79">
        <v>20</v>
      </c>
      <c r="EA15" s="79">
        <v>0</v>
      </c>
      <c r="EB15" s="79">
        <v>40.625</v>
      </c>
      <c r="EC15" s="79">
        <v>6.666666666666667</v>
      </c>
      <c r="ED15" s="79">
        <v>40.654205607476626</v>
      </c>
      <c r="EE15" s="79">
        <v>25.925925925925931</v>
      </c>
      <c r="EF15" s="79">
        <v>22.222222222222221</v>
      </c>
      <c r="EG15" s="79">
        <v>0</v>
      </c>
      <c r="EH15" s="79">
        <v>43.75</v>
      </c>
      <c r="EI15" s="79">
        <v>6.557377049180328</v>
      </c>
      <c r="EJ15" s="102">
        <v>36.936936936936931</v>
      </c>
      <c r="EK15" s="102">
        <v>42.592592592592595</v>
      </c>
      <c r="EL15" s="102">
        <v>12.5</v>
      </c>
      <c r="EM15" s="102">
        <v>47.916666666666671</v>
      </c>
      <c r="EN15" s="102">
        <v>15.625</v>
      </c>
      <c r="EO15" s="102">
        <v>3.3898305084745801</v>
      </c>
      <c r="EP15" s="102">
        <v>51</v>
      </c>
      <c r="EQ15" s="102">
        <v>54</v>
      </c>
      <c r="ER15" s="102">
        <v>0</v>
      </c>
      <c r="ES15" s="102">
        <v>64</v>
      </c>
      <c r="ET15" s="102">
        <v>25</v>
      </c>
      <c r="EU15" s="102">
        <v>0</v>
      </c>
      <c r="EV15" s="102">
        <v>57.26495726495726</v>
      </c>
      <c r="EW15" s="102">
        <v>55.357142857142847</v>
      </c>
      <c r="EX15" s="102">
        <v>16.129032258064516</v>
      </c>
      <c r="EY15" s="102">
        <v>70.8333333333333</v>
      </c>
      <c r="EZ15" s="102">
        <v>52</v>
      </c>
      <c r="FA15" s="102">
        <v>0</v>
      </c>
    </row>
    <row r="16" spans="1:157" s="80" customFormat="1" ht="16.5" x14ac:dyDescent="0.3">
      <c r="A16" s="78" t="s">
        <v>64</v>
      </c>
      <c r="B16" s="79">
        <f>'Sect. Gov Priorities Fig 2-6 AR'!B16</f>
        <v>0</v>
      </c>
      <c r="C16" s="79">
        <f>'Sect. Gov Priorities Fig 2-6 AR'!C16</f>
        <v>0</v>
      </c>
      <c r="D16" s="79">
        <f>'Sect. Gov Priorities Fig 2-6 AR'!D16</f>
        <v>0</v>
      </c>
      <c r="E16" s="79">
        <f>'Sect. Gov Priorities Fig 2-6 AR'!E16</f>
        <v>0</v>
      </c>
      <c r="F16" s="79">
        <f>'Sect. Gov Priorities Fig 2-6 AR'!F16</f>
        <v>0</v>
      </c>
      <c r="G16" s="79">
        <f>'Sect. Gov Priorities Fig 2-6 AR'!G16</f>
        <v>0</v>
      </c>
      <c r="H16" s="79">
        <f>'Sect. Gov Priorities Fig 2-6 AR'!H16</f>
        <v>0</v>
      </c>
      <c r="I16" s="79">
        <f>'Sect. Gov Priorities Fig 2-6 AR'!I16</f>
        <v>0</v>
      </c>
      <c r="J16" s="79">
        <f>'Sect. Gov Priorities Fig 2-6 AR'!J16</f>
        <v>0</v>
      </c>
      <c r="K16" s="79">
        <f>'Sect. Gov Priorities Fig 2-6 AR'!K16</f>
        <v>0</v>
      </c>
      <c r="L16" s="79">
        <f>'Sect. Gov Priorities Fig 2-6 AR'!L16</f>
        <v>0</v>
      </c>
      <c r="M16" s="79">
        <f>'Sect. Gov Priorities Fig 2-6 AR'!M16</f>
        <v>0</v>
      </c>
      <c r="N16" s="79">
        <f>'Sect. Gov Priorities Fig 2-6 AR'!N16</f>
        <v>0</v>
      </c>
      <c r="O16" s="79">
        <f>'Sect. Gov Priorities Fig 2-6 AR'!O16</f>
        <v>0</v>
      </c>
      <c r="P16" s="79">
        <f>'Sect. Gov Priorities Fig 2-6 AR'!P16</f>
        <v>0</v>
      </c>
      <c r="Q16" s="79">
        <f>'Sect. Gov Priorities Fig 2-6 AR'!Q16</f>
        <v>0</v>
      </c>
      <c r="R16" s="79">
        <f>'Sect. Gov Priorities Fig 2-6 AR'!R16</f>
        <v>0</v>
      </c>
      <c r="S16" s="79">
        <f>'Sect. Gov Priorities Fig 2-6 AR'!S16</f>
        <v>0</v>
      </c>
      <c r="T16" s="79">
        <f>'Sect. Gov Priorities Fig 2-6 AR'!T16</f>
        <v>0</v>
      </c>
      <c r="U16" s="79">
        <f>'Sect. Gov Priorities Fig 2-6 AR'!U16</f>
        <v>0</v>
      </c>
      <c r="V16" s="79">
        <f>'Sect. Gov Priorities Fig 2-6 AR'!V16</f>
        <v>0</v>
      </c>
      <c r="W16" s="79">
        <f>'Sect. Gov Priorities Fig 2-6 AR'!W16</f>
        <v>0</v>
      </c>
      <c r="X16" s="79">
        <f>'Sect. Gov Priorities Fig 2-6 AR'!X16</f>
        <v>0</v>
      </c>
      <c r="Y16" s="79">
        <f>'Sect. Gov Priorities Fig 2-6 AR'!Y16</f>
        <v>0</v>
      </c>
      <c r="Z16" s="79">
        <f>'Sect. Gov Priorities Fig 2-6 AR'!Z16</f>
        <v>0</v>
      </c>
      <c r="AA16" s="79">
        <f>'Sect. Gov Priorities Fig 2-6 AR'!AA16</f>
        <v>0</v>
      </c>
      <c r="AB16" s="79">
        <f>'Sect. Gov Priorities Fig 2-6 AR'!AB16</f>
        <v>0</v>
      </c>
      <c r="AC16" s="79">
        <f>'Sect. Gov Priorities Fig 2-6 AR'!AC16</f>
        <v>0</v>
      </c>
      <c r="AD16" s="79">
        <f>'Sect. Gov Priorities Fig 2-6 AR'!AD16</f>
        <v>0</v>
      </c>
      <c r="AE16" s="79">
        <f>'Sect. Gov Priorities Fig 2-6 AR'!AE16</f>
        <v>0</v>
      </c>
      <c r="AF16" s="79">
        <f>'Sect. Gov Priorities Fig 2-6 AR'!AF16</f>
        <v>0</v>
      </c>
      <c r="AG16" s="79">
        <f>'Sect. Gov Priorities Fig 2-6 AR'!AG16</f>
        <v>0</v>
      </c>
      <c r="AH16" s="79">
        <f>'Sect. Gov Priorities Fig 2-6 AR'!AH16</f>
        <v>0</v>
      </c>
      <c r="AI16" s="79">
        <f>'Sect. Gov Priorities Fig 2-6 AR'!AI16</f>
        <v>0</v>
      </c>
      <c r="AJ16" s="79">
        <f>'Sect. Gov Priorities Fig 2-6 AR'!AJ16</f>
        <v>0</v>
      </c>
      <c r="AK16" s="79">
        <f>'Sect. Gov Priorities Fig 2-6 AR'!AK16</f>
        <v>0</v>
      </c>
      <c r="AL16" s="79">
        <f>'Sect. Gov Priorities Fig 2-6 AR'!AL16</f>
        <v>0</v>
      </c>
      <c r="AM16" s="79">
        <f>'Sect. Gov Priorities Fig 2-6 AR'!AM16</f>
        <v>0</v>
      </c>
      <c r="AN16" s="79">
        <f>'Sect. Gov Priorities Fig 2-6 AR'!AN16</f>
        <v>0</v>
      </c>
      <c r="AO16" s="79">
        <f>'Sect. Gov Priorities Fig 2-6 AR'!AO16</f>
        <v>0</v>
      </c>
      <c r="AP16" s="79">
        <f>'Sect. Gov Priorities Fig 2-6 AR'!AP16</f>
        <v>0</v>
      </c>
      <c r="AQ16" s="79">
        <f>'Sect. Gov Priorities Fig 2-6 AR'!AQ16</f>
        <v>0</v>
      </c>
      <c r="AR16" s="79">
        <f>'Sect. Gov Priorities Fig 2-6 AR'!AR16</f>
        <v>0</v>
      </c>
      <c r="AS16" s="79">
        <f>'Sect. Gov Priorities Fig 2-6 AR'!AS16</f>
        <v>0</v>
      </c>
      <c r="AT16" s="79">
        <f>'Sect. Gov Priorities Fig 2-6 AR'!AT16</f>
        <v>0</v>
      </c>
      <c r="AU16" s="79">
        <f>'Sect. Gov Priorities Fig 2-6 AR'!AU16</f>
        <v>0</v>
      </c>
      <c r="AV16" s="79">
        <f>'Sect. Gov Priorities Fig 2-6 AR'!AV16</f>
        <v>0</v>
      </c>
      <c r="AW16" s="79">
        <f>'Sect. Gov Priorities Fig 2-6 AR'!AW16</f>
        <v>0</v>
      </c>
      <c r="AX16" s="79">
        <f>'Sect. Gov Priorities Fig 2-6 AR'!AX16</f>
        <v>0</v>
      </c>
      <c r="AY16" s="79">
        <f>'Sect. Gov Priorities Fig 2-6 AR'!AY16</f>
        <v>0</v>
      </c>
      <c r="AZ16" s="79">
        <f>'Sect. Gov Priorities Fig 2-6 AR'!AZ16</f>
        <v>0</v>
      </c>
      <c r="BA16" s="79">
        <f>'Sect. Gov Priorities Fig 2-6 AR'!BA16</f>
        <v>0</v>
      </c>
      <c r="BB16" s="79">
        <f>'Sect. Gov Priorities Fig 2-6 AR'!BB16</f>
        <v>0</v>
      </c>
      <c r="BC16" s="79">
        <f>'Sect. Gov Priorities Fig 2-6 AR'!BC16</f>
        <v>0</v>
      </c>
      <c r="BD16" s="79">
        <f>'Sect. Gov Priorities Fig 2-6 AR'!BD16</f>
        <v>0</v>
      </c>
      <c r="BE16" s="79">
        <f>'Sect. Gov Priorities Fig 2-6 AR'!BE16</f>
        <v>0</v>
      </c>
      <c r="BF16" s="79">
        <f>'Sect. Gov Priorities Fig 2-6 AR'!BF16</f>
        <v>0</v>
      </c>
      <c r="BG16" s="79">
        <f>'Sect. Gov Priorities Fig 2-6 AR'!BG16</f>
        <v>0</v>
      </c>
      <c r="BH16" s="79">
        <f>'Sect. Gov Priorities Fig 2-6 AR'!BH16</f>
        <v>0</v>
      </c>
      <c r="BI16" s="79">
        <f>'Sect. Gov Priorities Fig 2-6 AR'!BI16</f>
        <v>0</v>
      </c>
      <c r="BJ16" s="79">
        <f>'Sect. Gov Priorities Fig 2-6 AR'!BJ16</f>
        <v>0</v>
      </c>
      <c r="BK16" s="79">
        <f>'Sect. Gov Priorities Fig 2-6 AR'!BK16</f>
        <v>0</v>
      </c>
      <c r="BL16" s="79">
        <f>'Sect. Gov Priorities Fig 2-6 AR'!BL16</f>
        <v>0</v>
      </c>
      <c r="BM16" s="79">
        <f>'Sect. Gov Priorities Fig 2-6 AR'!BM16</f>
        <v>0</v>
      </c>
      <c r="BN16" s="79">
        <f>'Sect. Gov Priorities Fig 2-6 AR'!BN16</f>
        <v>0</v>
      </c>
      <c r="BO16" s="79">
        <f>'Sect. Gov Priorities Fig 2-6 AR'!BO16</f>
        <v>0</v>
      </c>
      <c r="BP16" s="79">
        <f>'Sect. Gov Priorities Fig 2-6 AR'!BP16</f>
        <v>0</v>
      </c>
      <c r="BQ16" s="79">
        <f>'Sect. Gov Priorities Fig 2-6 AR'!BQ16</f>
        <v>0</v>
      </c>
      <c r="BR16" s="79">
        <f>'Sect. Gov Priorities Fig 2-6 AR'!BR16</f>
        <v>0</v>
      </c>
      <c r="BS16" s="79">
        <f>'Sect. Gov Priorities Fig 2-6 AR'!BS16</f>
        <v>0</v>
      </c>
      <c r="BT16" s="79">
        <f>'Sect. Gov Priorities Fig 2-6 AR'!BT16</f>
        <v>0</v>
      </c>
      <c r="BU16" s="79">
        <f>'Sect. Gov Priorities Fig 2-6 AR'!BU16</f>
        <v>0</v>
      </c>
      <c r="BV16" s="79">
        <f>'Sect. Gov Priorities Fig 2-6 AR'!BV16</f>
        <v>0</v>
      </c>
      <c r="BW16" s="79">
        <f>'Sect. Gov Priorities Fig 2-6 AR'!BW16</f>
        <v>0</v>
      </c>
      <c r="BX16" s="79">
        <f>'Sect. Gov Priorities Fig 2-6 AR'!BX16</f>
        <v>0</v>
      </c>
      <c r="BY16" s="79">
        <f>'Sect. Gov Priorities Fig 2-6 AR'!BY16</f>
        <v>0</v>
      </c>
      <c r="BZ16" s="79">
        <f>'Sect. Gov Priorities Fig 2-6 AR'!BZ16</f>
        <v>0</v>
      </c>
      <c r="CA16" s="79">
        <f>'Sect. Gov Priorities Fig 2-6 AR'!CA16</f>
        <v>0</v>
      </c>
      <c r="CB16" s="79">
        <f>'Sect. Gov Priorities Fig 2-6 AR'!CB16</f>
        <v>0</v>
      </c>
      <c r="CC16" s="79">
        <f>'Sect. Gov Priorities Fig 2-6 AR'!CC16</f>
        <v>0</v>
      </c>
      <c r="CD16" s="79">
        <f>'Sect. Gov Priorities Fig 2-6 AR'!CD16</f>
        <v>0</v>
      </c>
      <c r="CE16" s="79">
        <f>'Sect. Gov Priorities Fig 2-6 AR'!CE16</f>
        <v>0</v>
      </c>
      <c r="CF16" s="79">
        <f>'Sect. Gov Priorities Fig 2-6 AR'!CF16</f>
        <v>0</v>
      </c>
      <c r="CG16" s="79">
        <f>'Sect. Gov Priorities Fig 2-6 AR'!CG16</f>
        <v>0</v>
      </c>
      <c r="CH16" s="79">
        <f>'Sect. Gov Priorities Fig 2-6 AR'!CH16</f>
        <v>0</v>
      </c>
      <c r="CI16" s="79">
        <f>'Sect. Gov Priorities Fig 2-6 AR'!CI16</f>
        <v>0</v>
      </c>
      <c r="CJ16" s="79">
        <f>'Sect. Gov Priorities Fig 2-6 AR'!CJ16</f>
        <v>0</v>
      </c>
      <c r="CK16" s="79">
        <f>'Sect. Gov Priorities Fig 2-6 AR'!CK16</f>
        <v>0</v>
      </c>
      <c r="CL16" s="79">
        <f>'Sect. Gov Priorities Fig 2-6 AR'!CL16</f>
        <v>0</v>
      </c>
      <c r="CM16" s="79">
        <f>'Sect. Gov Priorities Fig 2-6 AR'!CM16</f>
        <v>0</v>
      </c>
      <c r="CN16" s="79">
        <f>'Sect. Gov Priorities Fig 2-6 AR'!CN16</f>
        <v>0</v>
      </c>
      <c r="CO16" s="79">
        <f>'Sect. Gov Priorities Fig 2-6 AR'!CO16</f>
        <v>0</v>
      </c>
      <c r="CP16" s="79">
        <f>'Sect. Gov Priorities Fig 2-6 AR'!CP16</f>
        <v>0</v>
      </c>
      <c r="CQ16" s="79">
        <f>'Sect. Gov Priorities Fig 2-6 AR'!CQ16</f>
        <v>0</v>
      </c>
      <c r="CR16" s="79">
        <f>'Sect. Gov Priorities Fig 2-6 AR'!CR16</f>
        <v>0</v>
      </c>
      <c r="CS16" s="79">
        <f>'Sect. Gov Priorities Fig 2-6 AR'!CS16</f>
        <v>0</v>
      </c>
      <c r="CT16" s="79">
        <f>'Sect. Gov Priorities Fig 2-6 AR'!CT16</f>
        <v>0</v>
      </c>
      <c r="CU16" s="79">
        <f>'Sect. Gov Priorities Fig 2-6 AR'!CU16</f>
        <v>0</v>
      </c>
      <c r="CV16" s="79">
        <f>'Sect. Gov Priorities Fig 2-6 AR'!CV16</f>
        <v>0</v>
      </c>
      <c r="CW16" s="79">
        <f>'Sect. Gov Priorities Fig 2-6 AR'!CW16</f>
        <v>0</v>
      </c>
      <c r="CX16" s="79">
        <f>'Sect. Gov Priorities Fig 2-6 AR'!CX16</f>
        <v>0</v>
      </c>
      <c r="CY16" s="79">
        <f>'Sect. Gov Priorities Fig 2-6 AR'!CY16</f>
        <v>0</v>
      </c>
      <c r="CZ16" s="79">
        <f>'Sect. Gov Priorities Fig 2-6 AR'!CZ16</f>
        <v>0</v>
      </c>
      <c r="DA16" s="79">
        <f>'Sect. Gov Priorities Fig 2-6 AR'!DA16</f>
        <v>0</v>
      </c>
      <c r="DB16" s="79">
        <f>'Sect. Gov Priorities Fig 2-6 AR'!DB16</f>
        <v>0</v>
      </c>
      <c r="DC16" s="79">
        <f>'Sect. Gov Priorities Fig 2-6 AR'!DC16</f>
        <v>0</v>
      </c>
      <c r="DD16" s="79">
        <f>'Sect. Gov Priorities Fig 2-6 AR'!DD16</f>
        <v>0</v>
      </c>
      <c r="DE16" s="79">
        <f>'Sect. Gov Priorities Fig 2-6 AR'!DE16</f>
        <v>0</v>
      </c>
      <c r="DF16" s="79">
        <f>'Sect. Gov Priorities Fig 2-6 AR'!DF16</f>
        <v>0</v>
      </c>
      <c r="DG16" s="79">
        <f>'Sect. Gov Priorities Fig 2-6 AR'!DG16</f>
        <v>0</v>
      </c>
      <c r="DH16" s="79">
        <f>'Sect. Gov Priorities Fig 2-6 AR'!DH16</f>
        <v>0</v>
      </c>
      <c r="DI16" s="79">
        <f>'Sect. Gov Priorities Fig 2-6 AR'!DI16</f>
        <v>0</v>
      </c>
      <c r="DJ16" s="79">
        <f>'Sect. Gov Priorities Fig 2-6 AR'!DJ16</f>
        <v>0</v>
      </c>
      <c r="DK16" s="79">
        <f>'Sect. Gov Priorities Fig 2-6 AR'!DK16</f>
        <v>0</v>
      </c>
      <c r="DL16" s="79">
        <f>'Sect. Gov Priorities Fig 2-6 AR'!DL16</f>
        <v>37.462844948378674</v>
      </c>
      <c r="DM16" s="79">
        <f>'Sect. Gov Priorities Fig 2-6 AR'!DM16</f>
        <v>60.404339250493109</v>
      </c>
      <c r="DN16" s="79">
        <f>'Sect. Gov Priorities Fig 2-6 AR'!DN16</f>
        <v>0</v>
      </c>
      <c r="DO16" s="79">
        <f>'Sect. Gov Priorities Fig 2-6 AR'!DO16</f>
        <v>0</v>
      </c>
      <c r="DP16" s="79">
        <f>'Sect. Gov Priorities Fig 2-6 AR'!DP16</f>
        <v>12.639894667544436</v>
      </c>
      <c r="DQ16" s="79">
        <f>'Sect. Gov Priorities Fig 2-6 AR'!DQ16</f>
        <v>21.818181818181817</v>
      </c>
      <c r="DR16" s="79">
        <f>'Sect. Gov Priorities Fig 2-6 AR'!DR16</f>
        <v>40.182648401826484</v>
      </c>
      <c r="DS16" s="79">
        <f>'Sect. Gov Priorities Fig 2-6 AR'!DS16</f>
        <v>77.192982456140342</v>
      </c>
      <c r="DT16" s="79">
        <f>'Sect. Gov Priorities Fig 2-6 AR'!DT16</f>
        <v>0</v>
      </c>
      <c r="DU16" s="79">
        <f>'Sect. Gov Priorities Fig 2-6 AR'!DU16</f>
        <v>14.062500000000004</v>
      </c>
      <c r="DV16" s="79">
        <f>'Sect. Gov Priorities Fig 2-6 AR'!DV16</f>
        <v>0</v>
      </c>
      <c r="DW16" s="79">
        <f>'Sect. Gov Priorities Fig 2-6 AR'!DW16</f>
        <v>0</v>
      </c>
      <c r="DX16" s="79">
        <v>24.413145539906097</v>
      </c>
      <c r="DY16" s="79">
        <v>38.888888888888893</v>
      </c>
      <c r="DZ16" s="79">
        <v>0</v>
      </c>
      <c r="EA16" s="79">
        <v>24.390243902439014</v>
      </c>
      <c r="EB16" s="79">
        <v>21.875</v>
      </c>
      <c r="EC16" s="79">
        <v>11.377777777777776</v>
      </c>
      <c r="ED16" s="79">
        <v>24.766355140186914</v>
      </c>
      <c r="EE16" s="79">
        <v>48.148148148148145</v>
      </c>
      <c r="EF16" s="79">
        <v>0</v>
      </c>
      <c r="EG16" s="79">
        <v>0</v>
      </c>
      <c r="EH16" s="79">
        <v>21.875</v>
      </c>
      <c r="EI16" s="79">
        <v>1.639344262295082</v>
      </c>
      <c r="EJ16" s="102">
        <v>38.2882882882883</v>
      </c>
      <c r="EK16" s="102">
        <v>37.037037037037038</v>
      </c>
      <c r="EL16" s="102">
        <v>22.5</v>
      </c>
      <c r="EM16" s="102">
        <v>35.416666666666671</v>
      </c>
      <c r="EN16" s="102">
        <v>0</v>
      </c>
      <c r="EO16" s="102">
        <v>8.4745762711864394</v>
      </c>
      <c r="EP16" s="102">
        <v>37</v>
      </c>
      <c r="EQ16" s="102">
        <v>41</v>
      </c>
      <c r="ER16" s="102">
        <v>0</v>
      </c>
      <c r="ES16" s="102">
        <v>31</v>
      </c>
      <c r="ET16" s="102">
        <v>0</v>
      </c>
      <c r="EU16" s="102">
        <v>0</v>
      </c>
      <c r="EV16" s="102">
        <v>23.076923076923077</v>
      </c>
      <c r="EW16" s="102">
        <v>30.357142857142854</v>
      </c>
      <c r="EX16" s="102">
        <v>0</v>
      </c>
      <c r="EY16" s="102">
        <v>39.583333333333329</v>
      </c>
      <c r="EZ16" s="102">
        <v>0</v>
      </c>
      <c r="FA16" s="102">
        <v>0</v>
      </c>
    </row>
    <row r="17" spans="1:157" s="80" customFormat="1" ht="16.5" x14ac:dyDescent="0.3">
      <c r="A17" s="78" t="s">
        <v>152</v>
      </c>
      <c r="B17" s="79">
        <f>'Sect. Gov Priorities Fig 2-6 AR'!B17</f>
        <v>0</v>
      </c>
      <c r="C17" s="79">
        <f>'Sect. Gov Priorities Fig 2-6 AR'!C17</f>
        <v>0</v>
      </c>
      <c r="D17" s="79">
        <f>'Sect. Gov Priorities Fig 2-6 AR'!D17</f>
        <v>0</v>
      </c>
      <c r="E17" s="79">
        <f>'Sect. Gov Priorities Fig 2-6 AR'!E17</f>
        <v>0</v>
      </c>
      <c r="F17" s="79">
        <f>'Sect. Gov Priorities Fig 2-6 AR'!F17</f>
        <v>0</v>
      </c>
      <c r="G17" s="79">
        <f>'Sect. Gov Priorities Fig 2-6 AR'!G17</f>
        <v>0</v>
      </c>
      <c r="H17" s="79">
        <f>'Sect. Gov Priorities Fig 2-6 AR'!H17</f>
        <v>0</v>
      </c>
      <c r="I17" s="79">
        <f>'Sect. Gov Priorities Fig 2-6 AR'!I17</f>
        <v>0</v>
      </c>
      <c r="J17" s="79">
        <f>'Sect. Gov Priorities Fig 2-6 AR'!J17</f>
        <v>0</v>
      </c>
      <c r="K17" s="79">
        <f>'Sect. Gov Priorities Fig 2-6 AR'!K17</f>
        <v>0</v>
      </c>
      <c r="L17" s="79">
        <f>'Sect. Gov Priorities Fig 2-6 AR'!L17</f>
        <v>0</v>
      </c>
      <c r="M17" s="79">
        <f>'Sect. Gov Priorities Fig 2-6 AR'!M17</f>
        <v>0</v>
      </c>
      <c r="N17" s="79">
        <f>'Sect. Gov Priorities Fig 2-6 AR'!N17</f>
        <v>0</v>
      </c>
      <c r="O17" s="79">
        <f>'Sect. Gov Priorities Fig 2-6 AR'!O17</f>
        <v>0</v>
      </c>
      <c r="P17" s="79">
        <f>'Sect. Gov Priorities Fig 2-6 AR'!P17</f>
        <v>0</v>
      </c>
      <c r="Q17" s="79">
        <f>'Sect. Gov Priorities Fig 2-6 AR'!Q17</f>
        <v>0</v>
      </c>
      <c r="R17" s="79">
        <f>'Sect. Gov Priorities Fig 2-6 AR'!R17</f>
        <v>0</v>
      </c>
      <c r="S17" s="79">
        <f>'Sect. Gov Priorities Fig 2-6 AR'!S17</f>
        <v>0</v>
      </c>
      <c r="T17" s="79">
        <f>'Sect. Gov Priorities Fig 2-6 AR'!T17</f>
        <v>0</v>
      </c>
      <c r="U17" s="79">
        <f>'Sect. Gov Priorities Fig 2-6 AR'!U17</f>
        <v>0</v>
      </c>
      <c r="V17" s="79">
        <f>'Sect. Gov Priorities Fig 2-6 AR'!V17</f>
        <v>0</v>
      </c>
      <c r="W17" s="79">
        <f>'Sect. Gov Priorities Fig 2-6 AR'!W17</f>
        <v>0</v>
      </c>
      <c r="X17" s="79">
        <f>'Sect. Gov Priorities Fig 2-6 AR'!X17</f>
        <v>0</v>
      </c>
      <c r="Y17" s="79">
        <f>'Sect. Gov Priorities Fig 2-6 AR'!Y17</f>
        <v>0</v>
      </c>
      <c r="Z17" s="79">
        <f>'Sect. Gov Priorities Fig 2-6 AR'!Z17</f>
        <v>0</v>
      </c>
      <c r="AA17" s="79">
        <f>'Sect. Gov Priorities Fig 2-6 AR'!AA17</f>
        <v>0</v>
      </c>
      <c r="AB17" s="79">
        <f>'Sect. Gov Priorities Fig 2-6 AR'!AB17</f>
        <v>0</v>
      </c>
      <c r="AC17" s="79">
        <f>'Sect. Gov Priorities Fig 2-6 AR'!AC17</f>
        <v>0</v>
      </c>
      <c r="AD17" s="79">
        <f>'Sect. Gov Priorities Fig 2-6 AR'!AD17</f>
        <v>0</v>
      </c>
      <c r="AE17" s="79">
        <f>'Sect. Gov Priorities Fig 2-6 AR'!AE17</f>
        <v>0</v>
      </c>
      <c r="AF17" s="79">
        <f>'Sect. Gov Priorities Fig 2-6 AR'!AF17</f>
        <v>0</v>
      </c>
      <c r="AG17" s="79">
        <f>'Sect. Gov Priorities Fig 2-6 AR'!AG17</f>
        <v>0</v>
      </c>
      <c r="AH17" s="79">
        <f>'Sect. Gov Priorities Fig 2-6 AR'!AH17</f>
        <v>0</v>
      </c>
      <c r="AI17" s="79">
        <f>'Sect. Gov Priorities Fig 2-6 AR'!AI17</f>
        <v>0</v>
      </c>
      <c r="AJ17" s="79">
        <f>'Sect. Gov Priorities Fig 2-6 AR'!AJ17</f>
        <v>0</v>
      </c>
      <c r="AK17" s="79">
        <f>'Sect. Gov Priorities Fig 2-6 AR'!AK17</f>
        <v>0</v>
      </c>
      <c r="AL17" s="79">
        <f>'Sect. Gov Priorities Fig 2-6 AR'!AL17</f>
        <v>0</v>
      </c>
      <c r="AM17" s="79">
        <f>'Sect. Gov Priorities Fig 2-6 AR'!AM17</f>
        <v>0</v>
      </c>
      <c r="AN17" s="79">
        <f>'Sect. Gov Priorities Fig 2-6 AR'!AN17</f>
        <v>0</v>
      </c>
      <c r="AO17" s="79">
        <f>'Sect. Gov Priorities Fig 2-6 AR'!AO17</f>
        <v>0</v>
      </c>
      <c r="AP17" s="79">
        <f>'Sect. Gov Priorities Fig 2-6 AR'!AP17</f>
        <v>0</v>
      </c>
      <c r="AQ17" s="79">
        <f>'Sect. Gov Priorities Fig 2-6 AR'!AQ17</f>
        <v>0</v>
      </c>
      <c r="AR17" s="79">
        <f>'Sect. Gov Priorities Fig 2-6 AR'!AR17</f>
        <v>0</v>
      </c>
      <c r="AS17" s="79">
        <f>'Sect. Gov Priorities Fig 2-6 AR'!AS17</f>
        <v>0</v>
      </c>
      <c r="AT17" s="79">
        <f>'Sect. Gov Priorities Fig 2-6 AR'!AT17</f>
        <v>0</v>
      </c>
      <c r="AU17" s="79">
        <f>'Sect. Gov Priorities Fig 2-6 AR'!AU17</f>
        <v>0</v>
      </c>
      <c r="AV17" s="79">
        <f>'Sect. Gov Priorities Fig 2-6 AR'!AV17</f>
        <v>0</v>
      </c>
      <c r="AW17" s="79">
        <f>'Sect. Gov Priorities Fig 2-6 AR'!AW17</f>
        <v>0</v>
      </c>
      <c r="AX17" s="79">
        <f>'Sect. Gov Priorities Fig 2-6 AR'!AX17</f>
        <v>0</v>
      </c>
      <c r="AY17" s="79">
        <f>'Sect. Gov Priorities Fig 2-6 AR'!AY17</f>
        <v>0</v>
      </c>
      <c r="AZ17" s="79">
        <f>'Sect. Gov Priorities Fig 2-6 AR'!AZ17</f>
        <v>0</v>
      </c>
      <c r="BA17" s="79">
        <f>'Sect. Gov Priorities Fig 2-6 AR'!BA17</f>
        <v>0</v>
      </c>
      <c r="BB17" s="79">
        <f>'Sect. Gov Priorities Fig 2-6 AR'!BB17</f>
        <v>0</v>
      </c>
      <c r="BC17" s="79">
        <f>'Sect. Gov Priorities Fig 2-6 AR'!BC17</f>
        <v>0</v>
      </c>
      <c r="BD17" s="79">
        <f>'Sect. Gov Priorities Fig 2-6 AR'!BD17</f>
        <v>0</v>
      </c>
      <c r="BE17" s="79">
        <f>'Sect. Gov Priorities Fig 2-6 AR'!BE17</f>
        <v>0</v>
      </c>
      <c r="BF17" s="79">
        <f>'Sect. Gov Priorities Fig 2-6 AR'!BF17</f>
        <v>0</v>
      </c>
      <c r="BG17" s="79">
        <f>'Sect. Gov Priorities Fig 2-6 AR'!BG17</f>
        <v>0</v>
      </c>
      <c r="BH17" s="79">
        <f>'Sect. Gov Priorities Fig 2-6 AR'!BH17</f>
        <v>0</v>
      </c>
      <c r="BI17" s="79">
        <f>'Sect. Gov Priorities Fig 2-6 AR'!BI17</f>
        <v>0</v>
      </c>
      <c r="BJ17" s="79">
        <f>'Sect. Gov Priorities Fig 2-6 AR'!BJ17</f>
        <v>0</v>
      </c>
      <c r="BK17" s="79">
        <f>'Sect. Gov Priorities Fig 2-6 AR'!BK17</f>
        <v>0</v>
      </c>
      <c r="BL17" s="79">
        <f>'Sect. Gov Priorities Fig 2-6 AR'!BL17</f>
        <v>0</v>
      </c>
      <c r="BM17" s="79">
        <f>'Sect. Gov Priorities Fig 2-6 AR'!BM17</f>
        <v>0</v>
      </c>
      <c r="BN17" s="79">
        <f>'Sect. Gov Priorities Fig 2-6 AR'!BN17</f>
        <v>0</v>
      </c>
      <c r="BO17" s="79">
        <f>'Sect. Gov Priorities Fig 2-6 AR'!BO17</f>
        <v>0</v>
      </c>
      <c r="BP17" s="79">
        <f>'Sect. Gov Priorities Fig 2-6 AR'!BP17</f>
        <v>0</v>
      </c>
      <c r="BQ17" s="79">
        <f>'Sect. Gov Priorities Fig 2-6 AR'!BQ17</f>
        <v>0</v>
      </c>
      <c r="BR17" s="79">
        <f>'Sect. Gov Priorities Fig 2-6 AR'!BR17</f>
        <v>0</v>
      </c>
      <c r="BS17" s="79">
        <f>'Sect. Gov Priorities Fig 2-6 AR'!BS17</f>
        <v>0</v>
      </c>
      <c r="BT17" s="79">
        <f>'Sect. Gov Priorities Fig 2-6 AR'!BT17</f>
        <v>0</v>
      </c>
      <c r="BU17" s="79">
        <f>'Sect. Gov Priorities Fig 2-6 AR'!BU17</f>
        <v>0</v>
      </c>
      <c r="BV17" s="79">
        <f>'Sect. Gov Priorities Fig 2-6 AR'!BV17</f>
        <v>0</v>
      </c>
      <c r="BW17" s="79">
        <f>'Sect. Gov Priorities Fig 2-6 AR'!BW17</f>
        <v>0</v>
      </c>
      <c r="BX17" s="79">
        <f>'Sect. Gov Priorities Fig 2-6 AR'!BX17</f>
        <v>0</v>
      </c>
      <c r="BY17" s="79">
        <f>'Sect. Gov Priorities Fig 2-6 AR'!BY17</f>
        <v>0</v>
      </c>
      <c r="BZ17" s="79">
        <f>'Sect. Gov Priorities Fig 2-6 AR'!BZ17</f>
        <v>0</v>
      </c>
      <c r="CA17" s="79">
        <f>'Sect. Gov Priorities Fig 2-6 AR'!CA17</f>
        <v>0</v>
      </c>
      <c r="CB17" s="79">
        <f>'Sect. Gov Priorities Fig 2-6 AR'!CB17</f>
        <v>0</v>
      </c>
      <c r="CC17" s="79">
        <f>'Sect. Gov Priorities Fig 2-6 AR'!CC17</f>
        <v>0</v>
      </c>
      <c r="CD17" s="79">
        <f>'Sect. Gov Priorities Fig 2-6 AR'!CD17</f>
        <v>0</v>
      </c>
      <c r="CE17" s="79">
        <f>'Sect. Gov Priorities Fig 2-6 AR'!CE17</f>
        <v>0</v>
      </c>
      <c r="CF17" s="79">
        <f>'Sect. Gov Priorities Fig 2-6 AR'!CF17</f>
        <v>0</v>
      </c>
      <c r="CG17" s="79">
        <f>'Sect. Gov Priorities Fig 2-6 AR'!CG17</f>
        <v>0</v>
      </c>
      <c r="CH17" s="79">
        <f>'Sect. Gov Priorities Fig 2-6 AR'!CH17</f>
        <v>0</v>
      </c>
      <c r="CI17" s="79">
        <f>'Sect. Gov Priorities Fig 2-6 AR'!CI17</f>
        <v>0</v>
      </c>
      <c r="CJ17" s="79">
        <f>'Sect. Gov Priorities Fig 2-6 AR'!CJ17</f>
        <v>0</v>
      </c>
      <c r="CK17" s="79">
        <f>'Sect. Gov Priorities Fig 2-6 AR'!CK17</f>
        <v>0</v>
      </c>
      <c r="CL17" s="79">
        <f>'Sect. Gov Priorities Fig 2-6 AR'!CL17</f>
        <v>0</v>
      </c>
      <c r="CM17" s="79">
        <f>'Sect. Gov Priorities Fig 2-6 AR'!CM17</f>
        <v>0</v>
      </c>
      <c r="CN17" s="79">
        <f>'Sect. Gov Priorities Fig 2-6 AR'!CN17</f>
        <v>0</v>
      </c>
      <c r="CO17" s="79">
        <f>'Sect. Gov Priorities Fig 2-6 AR'!CO17</f>
        <v>0</v>
      </c>
      <c r="CP17" s="79">
        <f>'Sect. Gov Priorities Fig 2-6 AR'!CP17</f>
        <v>0</v>
      </c>
      <c r="CQ17" s="79">
        <f>'Sect. Gov Priorities Fig 2-6 AR'!CQ17</f>
        <v>0</v>
      </c>
      <c r="CR17" s="79">
        <f>'Sect. Gov Priorities Fig 2-6 AR'!CR17</f>
        <v>0</v>
      </c>
      <c r="CS17" s="79">
        <f>'Sect. Gov Priorities Fig 2-6 AR'!CS17</f>
        <v>0</v>
      </c>
      <c r="CT17" s="79">
        <f>'Sect. Gov Priorities Fig 2-6 AR'!CT17</f>
        <v>0</v>
      </c>
      <c r="CU17" s="79">
        <f>'Sect. Gov Priorities Fig 2-6 AR'!CU17</f>
        <v>0</v>
      </c>
      <c r="CV17" s="79">
        <f>'Sect. Gov Priorities Fig 2-6 AR'!CV17</f>
        <v>0</v>
      </c>
      <c r="CW17" s="79">
        <f>'Sect. Gov Priorities Fig 2-6 AR'!CW17</f>
        <v>0</v>
      </c>
      <c r="CX17" s="79">
        <f>'Sect. Gov Priorities Fig 2-6 AR'!CX17</f>
        <v>0</v>
      </c>
      <c r="CY17" s="79">
        <f>'Sect. Gov Priorities Fig 2-6 AR'!CY17</f>
        <v>0</v>
      </c>
      <c r="CZ17" s="79">
        <f>'Sect. Gov Priorities Fig 2-6 AR'!CZ17</f>
        <v>0</v>
      </c>
      <c r="DA17" s="79">
        <f>'Sect. Gov Priorities Fig 2-6 AR'!DA17</f>
        <v>0</v>
      </c>
      <c r="DB17" s="79">
        <f>'Sect. Gov Priorities Fig 2-6 AR'!DB17</f>
        <v>0</v>
      </c>
      <c r="DC17" s="79">
        <f>'Sect. Gov Priorities Fig 2-6 AR'!DC17</f>
        <v>0</v>
      </c>
      <c r="DD17" s="79">
        <f>'Sect. Gov Priorities Fig 2-6 AR'!DD17</f>
        <v>0</v>
      </c>
      <c r="DE17" s="79">
        <f>'Sect. Gov Priorities Fig 2-6 AR'!DE17</f>
        <v>0</v>
      </c>
      <c r="DF17" s="79">
        <f>'Sect. Gov Priorities Fig 2-6 AR'!DF17</f>
        <v>0</v>
      </c>
      <c r="DG17" s="79">
        <f>'Sect. Gov Priorities Fig 2-6 AR'!DG17</f>
        <v>0</v>
      </c>
      <c r="DH17" s="79">
        <f>'Sect. Gov Priorities Fig 2-6 AR'!DH17</f>
        <v>0</v>
      </c>
      <c r="DI17" s="79">
        <f>'Sect. Gov Priorities Fig 2-6 AR'!DI17</f>
        <v>0</v>
      </c>
      <c r="DJ17" s="79">
        <f>'Sect. Gov Priorities Fig 2-6 AR'!DJ17</f>
        <v>0</v>
      </c>
      <c r="DK17" s="79">
        <f>'Sect. Gov Priorities Fig 2-6 AR'!DK17</f>
        <v>0</v>
      </c>
      <c r="DL17" s="79">
        <f>'Sect. Gov Priorities Fig 2-6 AR'!DL17</f>
        <v>27.965222285409425</v>
      </c>
      <c r="DM17" s="79">
        <f>'Sect. Gov Priorities Fig 2-6 AR'!DM17</f>
        <v>77.083333333333343</v>
      </c>
      <c r="DN17" s="79">
        <f>'Sect. Gov Priorities Fig 2-6 AR'!DN17</f>
        <v>0</v>
      </c>
      <c r="DO17" s="79">
        <f>'Sect. Gov Priorities Fig 2-6 AR'!DO17</f>
        <v>56.018518518518526</v>
      </c>
      <c r="DP17" s="79">
        <f>'Sect. Gov Priorities Fig 2-6 AR'!DP17</f>
        <v>37.919684002633311</v>
      </c>
      <c r="DQ17" s="79">
        <f>'Sect. Gov Priorities Fig 2-6 AR'!DQ17</f>
        <v>12.727272727272727</v>
      </c>
      <c r="DR17" s="79">
        <f>'Sect. Gov Priorities Fig 2-6 AR'!DR17</f>
        <v>29.680365296803657</v>
      </c>
      <c r="DS17" s="79">
        <f>'Sect. Gov Priorities Fig 2-6 AR'!DS17</f>
        <v>63.157894736842124</v>
      </c>
      <c r="DT17" s="79">
        <f>'Sect. Gov Priorities Fig 2-6 AR'!DT17</f>
        <v>0</v>
      </c>
      <c r="DU17" s="79">
        <f>'Sect. Gov Priorities Fig 2-6 AR'!DU17</f>
        <v>0</v>
      </c>
      <c r="DV17" s="79">
        <f>'Sect. Gov Priorities Fig 2-6 AR'!DV17</f>
        <v>0</v>
      </c>
      <c r="DW17" s="79">
        <f>'Sect. Gov Priorities Fig 2-6 AR'!DW17</f>
        <v>0</v>
      </c>
      <c r="DX17" s="79">
        <v>37.386051442235704</v>
      </c>
      <c r="DY17" s="79">
        <v>46.296296296296305</v>
      </c>
      <c r="DZ17" s="79">
        <v>42.5</v>
      </c>
      <c r="EA17" s="79">
        <v>39.024390243902431</v>
      </c>
      <c r="EB17" s="79">
        <v>21.875</v>
      </c>
      <c r="EC17" s="79">
        <v>71.666666666666671</v>
      </c>
      <c r="ED17" s="79">
        <v>47.196261682242984</v>
      </c>
      <c r="EE17" s="79">
        <v>42.592592592592595</v>
      </c>
      <c r="EF17" s="79">
        <v>13.888888888888889</v>
      </c>
      <c r="EG17" s="79">
        <v>67.391304347826079</v>
      </c>
      <c r="EH17" s="79">
        <v>28.125</v>
      </c>
      <c r="EI17" s="79">
        <v>60.655737704918032</v>
      </c>
      <c r="EJ17" s="102">
        <v>50.450450450450447</v>
      </c>
      <c r="EK17" s="102">
        <v>42.592592592592595</v>
      </c>
      <c r="EL17" s="102">
        <v>50</v>
      </c>
      <c r="EM17" s="102">
        <v>52.083333333333329</v>
      </c>
      <c r="EN17" s="102">
        <v>65.625</v>
      </c>
      <c r="EO17" s="102">
        <v>11.864406779661017</v>
      </c>
      <c r="EP17" s="102">
        <v>71</v>
      </c>
      <c r="EQ17" s="102">
        <v>46</v>
      </c>
      <c r="ER17" s="102">
        <v>33</v>
      </c>
      <c r="ES17" s="102">
        <v>29</v>
      </c>
      <c r="ET17" s="102">
        <v>69</v>
      </c>
      <c r="EU17" s="102">
        <v>94</v>
      </c>
      <c r="EV17" s="102">
        <v>45.299145299145302</v>
      </c>
      <c r="EW17" s="102">
        <v>53.571428571428569</v>
      </c>
      <c r="EX17" s="102">
        <v>9.67741935483871</v>
      </c>
      <c r="EY17" s="102">
        <v>47.916666666666664</v>
      </c>
      <c r="EZ17" s="102">
        <v>12</v>
      </c>
      <c r="FA17" s="102">
        <v>53.968253968253968</v>
      </c>
    </row>
    <row r="18" spans="1:157" s="80" customFormat="1" ht="16.5" x14ac:dyDescent="0.3">
      <c r="A18" s="78" t="s">
        <v>150</v>
      </c>
      <c r="B18" s="79">
        <f>'Sect. Gov Priorities Fig 2-6 AR'!B18</f>
        <v>0</v>
      </c>
      <c r="C18" s="79">
        <f>'Sect. Gov Priorities Fig 2-6 AR'!C18</f>
        <v>0</v>
      </c>
      <c r="D18" s="79">
        <f>'Sect. Gov Priorities Fig 2-6 AR'!D18</f>
        <v>0</v>
      </c>
      <c r="E18" s="79">
        <f>'Sect. Gov Priorities Fig 2-6 AR'!E18</f>
        <v>0</v>
      </c>
      <c r="F18" s="79">
        <f>'Sect. Gov Priorities Fig 2-6 AR'!F18</f>
        <v>0</v>
      </c>
      <c r="G18" s="79">
        <f>'Sect. Gov Priorities Fig 2-6 AR'!G18</f>
        <v>0</v>
      </c>
      <c r="H18" s="79">
        <f>'Sect. Gov Priorities Fig 2-6 AR'!H18</f>
        <v>0</v>
      </c>
      <c r="I18" s="79">
        <f>'Sect. Gov Priorities Fig 2-6 AR'!I18</f>
        <v>0</v>
      </c>
      <c r="J18" s="79">
        <f>'Sect. Gov Priorities Fig 2-6 AR'!J18</f>
        <v>0</v>
      </c>
      <c r="K18" s="79">
        <f>'Sect. Gov Priorities Fig 2-6 AR'!K18</f>
        <v>0</v>
      </c>
      <c r="L18" s="79">
        <f>'Sect. Gov Priorities Fig 2-6 AR'!L18</f>
        <v>0</v>
      </c>
      <c r="M18" s="79">
        <f>'Sect. Gov Priorities Fig 2-6 AR'!M18</f>
        <v>0</v>
      </c>
      <c r="N18" s="79">
        <f>'Sect. Gov Priorities Fig 2-6 AR'!N18</f>
        <v>0</v>
      </c>
      <c r="O18" s="79">
        <f>'Sect. Gov Priorities Fig 2-6 AR'!O18</f>
        <v>0</v>
      </c>
      <c r="P18" s="79">
        <f>'Sect. Gov Priorities Fig 2-6 AR'!P18</f>
        <v>0</v>
      </c>
      <c r="Q18" s="79">
        <f>'Sect. Gov Priorities Fig 2-6 AR'!Q18</f>
        <v>0</v>
      </c>
      <c r="R18" s="79">
        <f>'Sect. Gov Priorities Fig 2-6 AR'!R18</f>
        <v>0</v>
      </c>
      <c r="S18" s="79">
        <f>'Sect. Gov Priorities Fig 2-6 AR'!S18</f>
        <v>0</v>
      </c>
      <c r="T18" s="79">
        <f>'Sect. Gov Priorities Fig 2-6 AR'!T18</f>
        <v>0</v>
      </c>
      <c r="U18" s="79">
        <f>'Sect. Gov Priorities Fig 2-6 AR'!U18</f>
        <v>0</v>
      </c>
      <c r="V18" s="79">
        <f>'Sect. Gov Priorities Fig 2-6 AR'!V18</f>
        <v>0</v>
      </c>
      <c r="W18" s="79">
        <f>'Sect. Gov Priorities Fig 2-6 AR'!W18</f>
        <v>0</v>
      </c>
      <c r="X18" s="79">
        <f>'Sect. Gov Priorities Fig 2-6 AR'!X18</f>
        <v>0</v>
      </c>
      <c r="Y18" s="79">
        <f>'Sect. Gov Priorities Fig 2-6 AR'!Y18</f>
        <v>0</v>
      </c>
      <c r="Z18" s="79">
        <f>'Sect. Gov Priorities Fig 2-6 AR'!Z18</f>
        <v>0</v>
      </c>
      <c r="AA18" s="79">
        <f>'Sect. Gov Priorities Fig 2-6 AR'!AA18</f>
        <v>0</v>
      </c>
      <c r="AB18" s="79">
        <f>'Sect. Gov Priorities Fig 2-6 AR'!AB18</f>
        <v>0</v>
      </c>
      <c r="AC18" s="79">
        <f>'Sect. Gov Priorities Fig 2-6 AR'!AC18</f>
        <v>0</v>
      </c>
      <c r="AD18" s="79">
        <f>'Sect. Gov Priorities Fig 2-6 AR'!AD18</f>
        <v>0</v>
      </c>
      <c r="AE18" s="79">
        <f>'Sect. Gov Priorities Fig 2-6 AR'!AE18</f>
        <v>0</v>
      </c>
      <c r="AF18" s="79">
        <f>'Sect. Gov Priorities Fig 2-6 AR'!AF18</f>
        <v>0</v>
      </c>
      <c r="AG18" s="79">
        <f>'Sect. Gov Priorities Fig 2-6 AR'!AG18</f>
        <v>0</v>
      </c>
      <c r="AH18" s="79">
        <f>'Sect. Gov Priorities Fig 2-6 AR'!AH18</f>
        <v>0</v>
      </c>
      <c r="AI18" s="79">
        <f>'Sect. Gov Priorities Fig 2-6 AR'!AI18</f>
        <v>0</v>
      </c>
      <c r="AJ18" s="79">
        <f>'Sect. Gov Priorities Fig 2-6 AR'!AJ18</f>
        <v>0</v>
      </c>
      <c r="AK18" s="79">
        <f>'Sect. Gov Priorities Fig 2-6 AR'!AK18</f>
        <v>0</v>
      </c>
      <c r="AL18" s="79">
        <f>'Sect. Gov Priorities Fig 2-6 AR'!AL18</f>
        <v>0</v>
      </c>
      <c r="AM18" s="79">
        <f>'Sect. Gov Priorities Fig 2-6 AR'!AM18</f>
        <v>0</v>
      </c>
      <c r="AN18" s="79">
        <f>'Sect. Gov Priorities Fig 2-6 AR'!AN18</f>
        <v>0</v>
      </c>
      <c r="AO18" s="79">
        <f>'Sect. Gov Priorities Fig 2-6 AR'!AO18</f>
        <v>0</v>
      </c>
      <c r="AP18" s="79">
        <f>'Sect. Gov Priorities Fig 2-6 AR'!AP18</f>
        <v>0</v>
      </c>
      <c r="AQ18" s="79">
        <f>'Sect. Gov Priorities Fig 2-6 AR'!AQ18</f>
        <v>0</v>
      </c>
      <c r="AR18" s="79">
        <f>'Sect. Gov Priorities Fig 2-6 AR'!AR18</f>
        <v>0</v>
      </c>
      <c r="AS18" s="79">
        <f>'Sect. Gov Priorities Fig 2-6 AR'!AS18</f>
        <v>0</v>
      </c>
      <c r="AT18" s="79">
        <f>'Sect. Gov Priorities Fig 2-6 AR'!AT18</f>
        <v>0</v>
      </c>
      <c r="AU18" s="79">
        <f>'Sect. Gov Priorities Fig 2-6 AR'!AU18</f>
        <v>0</v>
      </c>
      <c r="AV18" s="79">
        <f>'Sect. Gov Priorities Fig 2-6 AR'!AV18</f>
        <v>0</v>
      </c>
      <c r="AW18" s="79">
        <f>'Sect. Gov Priorities Fig 2-6 AR'!AW18</f>
        <v>0</v>
      </c>
      <c r="AX18" s="79">
        <f>'Sect. Gov Priorities Fig 2-6 AR'!AX18</f>
        <v>0</v>
      </c>
      <c r="AY18" s="79">
        <f>'Sect. Gov Priorities Fig 2-6 AR'!AY18</f>
        <v>0</v>
      </c>
      <c r="AZ18" s="79">
        <f>'Sect. Gov Priorities Fig 2-6 AR'!AZ18</f>
        <v>0</v>
      </c>
      <c r="BA18" s="79">
        <f>'Sect. Gov Priorities Fig 2-6 AR'!BA18</f>
        <v>0</v>
      </c>
      <c r="BB18" s="79">
        <f>'Sect. Gov Priorities Fig 2-6 AR'!BB18</f>
        <v>0</v>
      </c>
      <c r="BC18" s="79">
        <f>'Sect. Gov Priorities Fig 2-6 AR'!BC18</f>
        <v>0</v>
      </c>
      <c r="BD18" s="79">
        <f>'Sect. Gov Priorities Fig 2-6 AR'!BD18</f>
        <v>0</v>
      </c>
      <c r="BE18" s="79">
        <f>'Sect. Gov Priorities Fig 2-6 AR'!BE18</f>
        <v>0</v>
      </c>
      <c r="BF18" s="79">
        <f>'Sect. Gov Priorities Fig 2-6 AR'!BF18</f>
        <v>0</v>
      </c>
      <c r="BG18" s="79">
        <f>'Sect. Gov Priorities Fig 2-6 AR'!BG18</f>
        <v>0</v>
      </c>
      <c r="BH18" s="79">
        <f>'Sect. Gov Priorities Fig 2-6 AR'!BH18</f>
        <v>0</v>
      </c>
      <c r="BI18" s="79">
        <f>'Sect. Gov Priorities Fig 2-6 AR'!BI18</f>
        <v>0</v>
      </c>
      <c r="BJ18" s="79">
        <f>'Sect. Gov Priorities Fig 2-6 AR'!BJ18</f>
        <v>0</v>
      </c>
      <c r="BK18" s="79">
        <f>'Sect. Gov Priorities Fig 2-6 AR'!BK18</f>
        <v>0</v>
      </c>
      <c r="BL18" s="79">
        <f>'Sect. Gov Priorities Fig 2-6 AR'!BL18</f>
        <v>0</v>
      </c>
      <c r="BM18" s="79">
        <f>'Sect. Gov Priorities Fig 2-6 AR'!BM18</f>
        <v>0</v>
      </c>
      <c r="BN18" s="79">
        <f>'Sect. Gov Priorities Fig 2-6 AR'!BN18</f>
        <v>0</v>
      </c>
      <c r="BO18" s="79">
        <f>'Sect. Gov Priorities Fig 2-6 AR'!BO18</f>
        <v>0</v>
      </c>
      <c r="BP18" s="79">
        <f>'Sect. Gov Priorities Fig 2-6 AR'!BP18</f>
        <v>0</v>
      </c>
      <c r="BQ18" s="79">
        <f>'Sect. Gov Priorities Fig 2-6 AR'!BQ18</f>
        <v>0</v>
      </c>
      <c r="BR18" s="79">
        <f>'Sect. Gov Priorities Fig 2-6 AR'!BR18</f>
        <v>0</v>
      </c>
      <c r="BS18" s="79">
        <f>'Sect. Gov Priorities Fig 2-6 AR'!BS18</f>
        <v>0</v>
      </c>
      <c r="BT18" s="79">
        <f>'Sect. Gov Priorities Fig 2-6 AR'!BT18</f>
        <v>0</v>
      </c>
      <c r="BU18" s="79">
        <f>'Sect. Gov Priorities Fig 2-6 AR'!BU18</f>
        <v>0</v>
      </c>
      <c r="BV18" s="79">
        <f>'Sect. Gov Priorities Fig 2-6 AR'!BV18</f>
        <v>0</v>
      </c>
      <c r="BW18" s="79">
        <f>'Sect. Gov Priorities Fig 2-6 AR'!BW18</f>
        <v>0</v>
      </c>
      <c r="BX18" s="79">
        <f>'Sect. Gov Priorities Fig 2-6 AR'!BX18</f>
        <v>0</v>
      </c>
      <c r="BY18" s="79">
        <f>'Sect. Gov Priorities Fig 2-6 AR'!BY18</f>
        <v>0</v>
      </c>
      <c r="BZ18" s="79">
        <f>'Sect. Gov Priorities Fig 2-6 AR'!BZ18</f>
        <v>0</v>
      </c>
      <c r="CA18" s="79">
        <f>'Sect. Gov Priorities Fig 2-6 AR'!CA18</f>
        <v>0</v>
      </c>
      <c r="CB18" s="79">
        <f>'Sect. Gov Priorities Fig 2-6 AR'!CB18</f>
        <v>0</v>
      </c>
      <c r="CC18" s="79">
        <f>'Sect. Gov Priorities Fig 2-6 AR'!CC18</f>
        <v>0</v>
      </c>
      <c r="CD18" s="79">
        <f>'Sect. Gov Priorities Fig 2-6 AR'!CD18</f>
        <v>0</v>
      </c>
      <c r="CE18" s="79">
        <f>'Sect. Gov Priorities Fig 2-6 AR'!CE18</f>
        <v>0</v>
      </c>
      <c r="CF18" s="79">
        <f>'Sect. Gov Priorities Fig 2-6 AR'!CF18</f>
        <v>0</v>
      </c>
      <c r="CG18" s="79">
        <f>'Sect. Gov Priorities Fig 2-6 AR'!CG18</f>
        <v>0</v>
      </c>
      <c r="CH18" s="79">
        <f>'Sect. Gov Priorities Fig 2-6 AR'!CH18</f>
        <v>0</v>
      </c>
      <c r="CI18" s="79">
        <f>'Sect. Gov Priorities Fig 2-6 AR'!CI18</f>
        <v>0</v>
      </c>
      <c r="CJ18" s="79">
        <f>'Sect. Gov Priorities Fig 2-6 AR'!CJ18</f>
        <v>0</v>
      </c>
      <c r="CK18" s="79">
        <f>'Sect. Gov Priorities Fig 2-6 AR'!CK18</f>
        <v>0</v>
      </c>
      <c r="CL18" s="79">
        <f>'Sect. Gov Priorities Fig 2-6 AR'!CL18</f>
        <v>0</v>
      </c>
      <c r="CM18" s="79">
        <f>'Sect. Gov Priorities Fig 2-6 AR'!CM18</f>
        <v>0</v>
      </c>
      <c r="CN18" s="79">
        <f>'Sect. Gov Priorities Fig 2-6 AR'!CN18</f>
        <v>0</v>
      </c>
      <c r="CO18" s="79">
        <f>'Sect. Gov Priorities Fig 2-6 AR'!CO18</f>
        <v>0</v>
      </c>
      <c r="CP18" s="79">
        <f>'Sect. Gov Priorities Fig 2-6 AR'!CP18</f>
        <v>0</v>
      </c>
      <c r="CQ18" s="79">
        <f>'Sect. Gov Priorities Fig 2-6 AR'!CQ18</f>
        <v>0</v>
      </c>
      <c r="CR18" s="79">
        <f>'Sect. Gov Priorities Fig 2-6 AR'!CR18</f>
        <v>0</v>
      </c>
      <c r="CS18" s="79">
        <f>'Sect. Gov Priorities Fig 2-6 AR'!CS18</f>
        <v>0</v>
      </c>
      <c r="CT18" s="79">
        <f>'Sect. Gov Priorities Fig 2-6 AR'!CT18</f>
        <v>0</v>
      </c>
      <c r="CU18" s="79">
        <f>'Sect. Gov Priorities Fig 2-6 AR'!CU18</f>
        <v>0</v>
      </c>
      <c r="CV18" s="79">
        <f>'Sect. Gov Priorities Fig 2-6 AR'!CV18</f>
        <v>0</v>
      </c>
      <c r="CW18" s="79">
        <f>'Sect. Gov Priorities Fig 2-6 AR'!CW18</f>
        <v>0</v>
      </c>
      <c r="CX18" s="79">
        <f>'Sect. Gov Priorities Fig 2-6 AR'!CX18</f>
        <v>0</v>
      </c>
      <c r="CY18" s="79">
        <f>'Sect. Gov Priorities Fig 2-6 AR'!CY18</f>
        <v>0</v>
      </c>
      <c r="CZ18" s="79">
        <f>'Sect. Gov Priorities Fig 2-6 AR'!CZ18</f>
        <v>0</v>
      </c>
      <c r="DA18" s="79">
        <f>'Sect. Gov Priorities Fig 2-6 AR'!DA18</f>
        <v>0</v>
      </c>
      <c r="DB18" s="79">
        <f>'Sect. Gov Priorities Fig 2-6 AR'!DB18</f>
        <v>0</v>
      </c>
      <c r="DC18" s="79">
        <f>'Sect. Gov Priorities Fig 2-6 AR'!DC18</f>
        <v>0</v>
      </c>
      <c r="DD18" s="79">
        <f>'Sect. Gov Priorities Fig 2-6 AR'!DD18</f>
        <v>0</v>
      </c>
      <c r="DE18" s="79">
        <f>'Sect. Gov Priorities Fig 2-6 AR'!DE18</f>
        <v>0</v>
      </c>
      <c r="DF18" s="79">
        <f>'Sect. Gov Priorities Fig 2-6 AR'!DF18</f>
        <v>0</v>
      </c>
      <c r="DG18" s="79">
        <f>'Sect. Gov Priorities Fig 2-6 AR'!DG18</f>
        <v>0</v>
      </c>
      <c r="DH18" s="79">
        <f>'Sect. Gov Priorities Fig 2-6 AR'!DH18</f>
        <v>0</v>
      </c>
      <c r="DI18" s="79">
        <f>'Sect. Gov Priorities Fig 2-6 AR'!DI18</f>
        <v>0</v>
      </c>
      <c r="DJ18" s="79">
        <f>'Sect. Gov Priorities Fig 2-6 AR'!DJ18</f>
        <v>0</v>
      </c>
      <c r="DK18" s="79">
        <f>'Sect. Gov Priorities Fig 2-6 AR'!DK18</f>
        <v>0</v>
      </c>
      <c r="DL18" s="79">
        <f>'Sect. Gov Priorities Fig 2-6 AR'!DL18</f>
        <v>23.2164109539248</v>
      </c>
      <c r="DM18" s="79">
        <f>'Sect. Gov Priorities Fig 2-6 AR'!DM18</f>
        <v>39.583333333333336</v>
      </c>
      <c r="DN18" s="79">
        <f>'Sect. Gov Priorities Fig 2-6 AR'!DN18</f>
        <v>0</v>
      </c>
      <c r="DO18" s="79">
        <f>'Sect. Gov Priorities Fig 2-6 AR'!DO18</f>
        <v>4.6682098765432096</v>
      </c>
      <c r="DP18" s="79">
        <f>'Sect. Gov Priorities Fig 2-6 AR'!DP18</f>
        <v>12.639894667544436</v>
      </c>
      <c r="DQ18" s="79">
        <f>'Sect. Gov Priorities Fig 2-6 AR'!DQ18</f>
        <v>0</v>
      </c>
      <c r="DR18" s="79">
        <f>'Sect. Gov Priorities Fig 2-6 AR'!DR18</f>
        <v>19.178082191780824</v>
      </c>
      <c r="DS18" s="79">
        <f>'Sect. Gov Priorities Fig 2-6 AR'!DS18</f>
        <v>54.385964912280706</v>
      </c>
      <c r="DT18" s="79">
        <f>'Sect. Gov Priorities Fig 2-6 AR'!DT18</f>
        <v>0</v>
      </c>
      <c r="DU18" s="79">
        <f>'Sect. Gov Priorities Fig 2-6 AR'!DU18</f>
        <v>0</v>
      </c>
      <c r="DV18" s="79">
        <f>'Sect. Gov Priorities Fig 2-6 AR'!DV18</f>
        <v>31.25</v>
      </c>
      <c r="DW18" s="79">
        <f>'Sect. Gov Priorities Fig 2-6 AR'!DW18</f>
        <v>0</v>
      </c>
      <c r="DX18" s="79">
        <v>17.37089201877934</v>
      </c>
      <c r="DY18" s="79">
        <v>27.777777777777779</v>
      </c>
      <c r="DZ18" s="79">
        <v>0</v>
      </c>
      <c r="EA18" s="79">
        <v>4.8780487804878039</v>
      </c>
      <c r="EB18" s="79">
        <v>12.5</v>
      </c>
      <c r="EC18" s="79">
        <v>0</v>
      </c>
      <c r="ED18" s="79">
        <v>15.887850467289718</v>
      </c>
      <c r="EE18" s="79">
        <v>24.074074074074076</v>
      </c>
      <c r="EF18" s="79">
        <v>0</v>
      </c>
      <c r="EG18" s="79">
        <v>8.6956521739130412</v>
      </c>
      <c r="EH18" s="79">
        <v>18.75</v>
      </c>
      <c r="EI18" s="79">
        <v>0</v>
      </c>
      <c r="EJ18" s="102">
        <v>22.072072072072071</v>
      </c>
      <c r="EK18" s="102">
        <v>20.370370370370374</v>
      </c>
      <c r="EL18" s="102">
        <v>12.5</v>
      </c>
      <c r="EM18" s="102">
        <v>20.833333333333336</v>
      </c>
      <c r="EN18" s="102">
        <v>18.75</v>
      </c>
      <c r="EO18" s="102">
        <v>3.3898305084745761</v>
      </c>
      <c r="EP18" s="102">
        <v>25</v>
      </c>
      <c r="EQ18" s="102">
        <v>20</v>
      </c>
      <c r="ER18" s="102">
        <v>0</v>
      </c>
      <c r="ES18" s="102">
        <v>20</v>
      </c>
      <c r="ET18" s="102">
        <v>18.75</v>
      </c>
      <c r="EU18" s="102">
        <v>0</v>
      </c>
      <c r="EV18" s="102">
        <v>21.367521367521363</v>
      </c>
      <c r="EW18" s="102">
        <v>26.785714285714285</v>
      </c>
      <c r="EX18" s="102">
        <v>0</v>
      </c>
      <c r="EY18" s="102">
        <v>27.083333333333332</v>
      </c>
      <c r="EZ18" s="102">
        <v>36</v>
      </c>
      <c r="FA18" s="102">
        <v>3.1746031746031744</v>
      </c>
    </row>
    <row r="19" spans="1:157" s="80" customFormat="1" ht="16.5" x14ac:dyDescent="0.3">
      <c r="A19" s="78" t="s">
        <v>71</v>
      </c>
      <c r="B19" s="79">
        <f>'Sect. Gov Priorities Fig 2-6 AR'!B19</f>
        <v>0</v>
      </c>
      <c r="C19" s="79">
        <f>'Sect. Gov Priorities Fig 2-6 AR'!C19</f>
        <v>0</v>
      </c>
      <c r="D19" s="79">
        <f>'Sect. Gov Priorities Fig 2-6 AR'!D19</f>
        <v>0</v>
      </c>
      <c r="E19" s="79">
        <f>'Sect. Gov Priorities Fig 2-6 AR'!E19</f>
        <v>0</v>
      </c>
      <c r="F19" s="79">
        <f>'Sect. Gov Priorities Fig 2-6 AR'!F19</f>
        <v>0</v>
      </c>
      <c r="G19" s="79">
        <f>'Sect. Gov Priorities Fig 2-6 AR'!G19</f>
        <v>0</v>
      </c>
      <c r="H19" s="79">
        <f>'Sect. Gov Priorities Fig 2-6 AR'!H19</f>
        <v>0</v>
      </c>
      <c r="I19" s="79">
        <f>'Sect. Gov Priorities Fig 2-6 AR'!I19</f>
        <v>0</v>
      </c>
      <c r="J19" s="79">
        <f>'Sect. Gov Priorities Fig 2-6 AR'!J19</f>
        <v>0</v>
      </c>
      <c r="K19" s="79">
        <f>'Sect. Gov Priorities Fig 2-6 AR'!K19</f>
        <v>0</v>
      </c>
      <c r="L19" s="79">
        <f>'Sect. Gov Priorities Fig 2-6 AR'!L19</f>
        <v>0</v>
      </c>
      <c r="M19" s="79">
        <f>'Sect. Gov Priorities Fig 2-6 AR'!M19</f>
        <v>0</v>
      </c>
      <c r="N19" s="79">
        <f>'Sect. Gov Priorities Fig 2-6 AR'!N19</f>
        <v>0</v>
      </c>
      <c r="O19" s="79">
        <f>'Sect. Gov Priorities Fig 2-6 AR'!O19</f>
        <v>0</v>
      </c>
      <c r="P19" s="79">
        <f>'Sect. Gov Priorities Fig 2-6 AR'!P19</f>
        <v>0</v>
      </c>
      <c r="Q19" s="79">
        <f>'Sect. Gov Priorities Fig 2-6 AR'!Q19</f>
        <v>0</v>
      </c>
      <c r="R19" s="79">
        <f>'Sect. Gov Priorities Fig 2-6 AR'!R19</f>
        <v>0</v>
      </c>
      <c r="S19" s="79">
        <f>'Sect. Gov Priorities Fig 2-6 AR'!S19</f>
        <v>0</v>
      </c>
      <c r="T19" s="79">
        <f>'Sect. Gov Priorities Fig 2-6 AR'!T19</f>
        <v>0</v>
      </c>
      <c r="U19" s="79">
        <f>'Sect. Gov Priorities Fig 2-6 AR'!U19</f>
        <v>0</v>
      </c>
      <c r="V19" s="79">
        <f>'Sect. Gov Priorities Fig 2-6 AR'!V19</f>
        <v>0</v>
      </c>
      <c r="W19" s="79">
        <f>'Sect. Gov Priorities Fig 2-6 AR'!W19</f>
        <v>0</v>
      </c>
      <c r="X19" s="79">
        <f>'Sect. Gov Priorities Fig 2-6 AR'!X19</f>
        <v>0</v>
      </c>
      <c r="Y19" s="79">
        <f>'Sect. Gov Priorities Fig 2-6 AR'!Y19</f>
        <v>0</v>
      </c>
      <c r="Z19" s="79">
        <f>'Sect. Gov Priorities Fig 2-6 AR'!Z19</f>
        <v>0</v>
      </c>
      <c r="AA19" s="79">
        <f>'Sect. Gov Priorities Fig 2-6 AR'!AA19</f>
        <v>0</v>
      </c>
      <c r="AB19" s="79">
        <f>'Sect. Gov Priorities Fig 2-6 AR'!AB19</f>
        <v>0</v>
      </c>
      <c r="AC19" s="79">
        <f>'Sect. Gov Priorities Fig 2-6 AR'!AC19</f>
        <v>0</v>
      </c>
      <c r="AD19" s="79">
        <f>'Sect. Gov Priorities Fig 2-6 AR'!AD19</f>
        <v>0</v>
      </c>
      <c r="AE19" s="79">
        <f>'Sect. Gov Priorities Fig 2-6 AR'!AE19</f>
        <v>0</v>
      </c>
      <c r="AF19" s="79">
        <f>'Sect. Gov Priorities Fig 2-6 AR'!AF19</f>
        <v>0</v>
      </c>
      <c r="AG19" s="79">
        <f>'Sect. Gov Priorities Fig 2-6 AR'!AG19</f>
        <v>0</v>
      </c>
      <c r="AH19" s="79">
        <f>'Sect. Gov Priorities Fig 2-6 AR'!AH19</f>
        <v>0</v>
      </c>
      <c r="AI19" s="79">
        <f>'Sect. Gov Priorities Fig 2-6 AR'!AI19</f>
        <v>0</v>
      </c>
      <c r="AJ19" s="79">
        <f>'Sect. Gov Priorities Fig 2-6 AR'!AJ19</f>
        <v>0</v>
      </c>
      <c r="AK19" s="79">
        <f>'Sect. Gov Priorities Fig 2-6 AR'!AK19</f>
        <v>0</v>
      </c>
      <c r="AL19" s="79">
        <f>'Sect. Gov Priorities Fig 2-6 AR'!AL19</f>
        <v>0</v>
      </c>
      <c r="AM19" s="79">
        <f>'Sect. Gov Priorities Fig 2-6 AR'!AM19</f>
        <v>0</v>
      </c>
      <c r="AN19" s="79">
        <f>'Sect. Gov Priorities Fig 2-6 AR'!AN19</f>
        <v>0</v>
      </c>
      <c r="AO19" s="79">
        <f>'Sect. Gov Priorities Fig 2-6 AR'!AO19</f>
        <v>0</v>
      </c>
      <c r="AP19" s="79">
        <f>'Sect. Gov Priorities Fig 2-6 AR'!AP19</f>
        <v>0</v>
      </c>
      <c r="AQ19" s="79">
        <f>'Sect. Gov Priorities Fig 2-6 AR'!AQ19</f>
        <v>0</v>
      </c>
      <c r="AR19" s="79">
        <f>'Sect. Gov Priorities Fig 2-6 AR'!AR19</f>
        <v>0</v>
      </c>
      <c r="AS19" s="79">
        <f>'Sect. Gov Priorities Fig 2-6 AR'!AS19</f>
        <v>0</v>
      </c>
      <c r="AT19" s="79">
        <f>'Sect. Gov Priorities Fig 2-6 AR'!AT19</f>
        <v>0</v>
      </c>
      <c r="AU19" s="79">
        <f>'Sect. Gov Priorities Fig 2-6 AR'!AU19</f>
        <v>0</v>
      </c>
      <c r="AV19" s="79">
        <f>'Sect. Gov Priorities Fig 2-6 AR'!AV19</f>
        <v>0</v>
      </c>
      <c r="AW19" s="79">
        <f>'Sect. Gov Priorities Fig 2-6 AR'!AW19</f>
        <v>0</v>
      </c>
      <c r="AX19" s="79">
        <f>'Sect. Gov Priorities Fig 2-6 AR'!AX19</f>
        <v>0</v>
      </c>
      <c r="AY19" s="79">
        <f>'Sect. Gov Priorities Fig 2-6 AR'!AY19</f>
        <v>0</v>
      </c>
      <c r="AZ19" s="79">
        <f>'Sect. Gov Priorities Fig 2-6 AR'!AZ19</f>
        <v>0</v>
      </c>
      <c r="BA19" s="79">
        <f>'Sect. Gov Priorities Fig 2-6 AR'!BA19</f>
        <v>0</v>
      </c>
      <c r="BB19" s="79">
        <f>'Sect. Gov Priorities Fig 2-6 AR'!BB19</f>
        <v>0</v>
      </c>
      <c r="BC19" s="79">
        <f>'Sect. Gov Priorities Fig 2-6 AR'!BC19</f>
        <v>0</v>
      </c>
      <c r="BD19" s="79">
        <f>'Sect. Gov Priorities Fig 2-6 AR'!BD19</f>
        <v>0</v>
      </c>
      <c r="BE19" s="79">
        <f>'Sect. Gov Priorities Fig 2-6 AR'!BE19</f>
        <v>0</v>
      </c>
      <c r="BF19" s="79">
        <f>'Sect. Gov Priorities Fig 2-6 AR'!BF19</f>
        <v>0</v>
      </c>
      <c r="BG19" s="79">
        <f>'Sect. Gov Priorities Fig 2-6 AR'!BG19</f>
        <v>0</v>
      </c>
      <c r="BH19" s="79">
        <f>'Sect. Gov Priorities Fig 2-6 AR'!BH19</f>
        <v>0</v>
      </c>
      <c r="BI19" s="79">
        <f>'Sect. Gov Priorities Fig 2-6 AR'!BI19</f>
        <v>0</v>
      </c>
      <c r="BJ19" s="79">
        <f>'Sect. Gov Priorities Fig 2-6 AR'!BJ19</f>
        <v>0</v>
      </c>
      <c r="BK19" s="79">
        <f>'Sect. Gov Priorities Fig 2-6 AR'!BK19</f>
        <v>0</v>
      </c>
      <c r="BL19" s="79">
        <f>'Sect. Gov Priorities Fig 2-6 AR'!BL19</f>
        <v>0</v>
      </c>
      <c r="BM19" s="79">
        <f>'Sect. Gov Priorities Fig 2-6 AR'!BM19</f>
        <v>0</v>
      </c>
      <c r="BN19" s="79">
        <f>'Sect. Gov Priorities Fig 2-6 AR'!BN19</f>
        <v>0</v>
      </c>
      <c r="BO19" s="79">
        <f>'Sect. Gov Priorities Fig 2-6 AR'!BO19</f>
        <v>0</v>
      </c>
      <c r="BP19" s="79">
        <f>'Sect. Gov Priorities Fig 2-6 AR'!BP19</f>
        <v>0</v>
      </c>
      <c r="BQ19" s="79">
        <f>'Sect. Gov Priorities Fig 2-6 AR'!BQ19</f>
        <v>0</v>
      </c>
      <c r="BR19" s="79">
        <f>'Sect. Gov Priorities Fig 2-6 AR'!BR19</f>
        <v>0</v>
      </c>
      <c r="BS19" s="79">
        <f>'Sect. Gov Priorities Fig 2-6 AR'!BS19</f>
        <v>0</v>
      </c>
      <c r="BT19" s="79">
        <f>'Sect. Gov Priorities Fig 2-6 AR'!BT19</f>
        <v>0</v>
      </c>
      <c r="BU19" s="79">
        <f>'Sect. Gov Priorities Fig 2-6 AR'!BU19</f>
        <v>0</v>
      </c>
      <c r="BV19" s="79">
        <f>'Sect. Gov Priorities Fig 2-6 AR'!BV19</f>
        <v>0</v>
      </c>
      <c r="BW19" s="79">
        <f>'Sect. Gov Priorities Fig 2-6 AR'!BW19</f>
        <v>0</v>
      </c>
      <c r="BX19" s="79">
        <f>'Sect. Gov Priorities Fig 2-6 AR'!BX19</f>
        <v>0</v>
      </c>
      <c r="BY19" s="79">
        <f>'Sect. Gov Priorities Fig 2-6 AR'!BY19</f>
        <v>0</v>
      </c>
      <c r="BZ19" s="79">
        <f>'Sect. Gov Priorities Fig 2-6 AR'!BZ19</f>
        <v>0</v>
      </c>
      <c r="CA19" s="79">
        <f>'Sect. Gov Priorities Fig 2-6 AR'!CA19</f>
        <v>0</v>
      </c>
      <c r="CB19" s="79">
        <f>'Sect. Gov Priorities Fig 2-6 AR'!CB19</f>
        <v>0</v>
      </c>
      <c r="CC19" s="79">
        <f>'Sect. Gov Priorities Fig 2-6 AR'!CC19</f>
        <v>0</v>
      </c>
      <c r="CD19" s="79">
        <f>'Sect. Gov Priorities Fig 2-6 AR'!CD19</f>
        <v>0</v>
      </c>
      <c r="CE19" s="79">
        <f>'Sect. Gov Priorities Fig 2-6 AR'!CE19</f>
        <v>0</v>
      </c>
      <c r="CF19" s="79">
        <f>'Sect. Gov Priorities Fig 2-6 AR'!CF19</f>
        <v>0</v>
      </c>
      <c r="CG19" s="79">
        <f>'Sect. Gov Priorities Fig 2-6 AR'!CG19</f>
        <v>0</v>
      </c>
      <c r="CH19" s="79">
        <f>'Sect. Gov Priorities Fig 2-6 AR'!CH19</f>
        <v>0</v>
      </c>
      <c r="CI19" s="79">
        <f>'Sect. Gov Priorities Fig 2-6 AR'!CI19</f>
        <v>0</v>
      </c>
      <c r="CJ19" s="79">
        <f>'Sect. Gov Priorities Fig 2-6 AR'!CJ19</f>
        <v>0</v>
      </c>
      <c r="CK19" s="79">
        <f>'Sect. Gov Priorities Fig 2-6 AR'!CK19</f>
        <v>0</v>
      </c>
      <c r="CL19" s="79">
        <f>'Sect. Gov Priorities Fig 2-6 AR'!CL19</f>
        <v>0</v>
      </c>
      <c r="CM19" s="79">
        <f>'Sect. Gov Priorities Fig 2-6 AR'!CM19</f>
        <v>0</v>
      </c>
      <c r="CN19" s="79">
        <f>'Sect. Gov Priorities Fig 2-6 AR'!CN19</f>
        <v>0</v>
      </c>
      <c r="CO19" s="79">
        <f>'Sect. Gov Priorities Fig 2-6 AR'!CO19</f>
        <v>0</v>
      </c>
      <c r="CP19" s="79">
        <f>'Sect. Gov Priorities Fig 2-6 AR'!CP19</f>
        <v>0</v>
      </c>
      <c r="CQ19" s="79">
        <f>'Sect. Gov Priorities Fig 2-6 AR'!CQ19</f>
        <v>0</v>
      </c>
      <c r="CR19" s="79">
        <f>'Sect. Gov Priorities Fig 2-6 AR'!CR19</f>
        <v>0</v>
      </c>
      <c r="CS19" s="79">
        <f>'Sect. Gov Priorities Fig 2-6 AR'!CS19</f>
        <v>0</v>
      </c>
      <c r="CT19" s="79">
        <f>'Sect. Gov Priorities Fig 2-6 AR'!CT19</f>
        <v>0</v>
      </c>
      <c r="CU19" s="79">
        <f>'Sect. Gov Priorities Fig 2-6 AR'!CU19</f>
        <v>0</v>
      </c>
      <c r="CV19" s="79">
        <f>'Sect. Gov Priorities Fig 2-6 AR'!CV19</f>
        <v>0</v>
      </c>
      <c r="CW19" s="79">
        <f>'Sect. Gov Priorities Fig 2-6 AR'!CW19</f>
        <v>0</v>
      </c>
      <c r="CX19" s="79">
        <f>'Sect. Gov Priorities Fig 2-6 AR'!CX19</f>
        <v>0</v>
      </c>
      <c r="CY19" s="79">
        <f>'Sect. Gov Priorities Fig 2-6 AR'!CY19</f>
        <v>0</v>
      </c>
      <c r="CZ19" s="79">
        <f>'Sect. Gov Priorities Fig 2-6 AR'!CZ19</f>
        <v>0</v>
      </c>
      <c r="DA19" s="79">
        <f>'Sect. Gov Priorities Fig 2-6 AR'!DA19</f>
        <v>0</v>
      </c>
      <c r="DB19" s="79">
        <f>'Sect. Gov Priorities Fig 2-6 AR'!DB19</f>
        <v>0</v>
      </c>
      <c r="DC19" s="79">
        <f>'Sect. Gov Priorities Fig 2-6 AR'!DC19</f>
        <v>0</v>
      </c>
      <c r="DD19" s="79">
        <f>'Sect. Gov Priorities Fig 2-6 AR'!DD19</f>
        <v>0</v>
      </c>
      <c r="DE19" s="79">
        <f>'Sect. Gov Priorities Fig 2-6 AR'!DE19</f>
        <v>0</v>
      </c>
      <c r="DF19" s="79">
        <f>'Sect. Gov Priorities Fig 2-6 AR'!DF19</f>
        <v>0</v>
      </c>
      <c r="DG19" s="79">
        <f>'Sect. Gov Priorities Fig 2-6 AR'!DG19</f>
        <v>0</v>
      </c>
      <c r="DH19" s="79">
        <f>'Sect. Gov Priorities Fig 2-6 AR'!DH19</f>
        <v>0</v>
      </c>
      <c r="DI19" s="79">
        <f>'Sect. Gov Priorities Fig 2-6 AR'!DI19</f>
        <v>0</v>
      </c>
      <c r="DJ19" s="79">
        <f>'Sect. Gov Priorities Fig 2-6 AR'!DJ19</f>
        <v>0</v>
      </c>
      <c r="DK19" s="79">
        <f>'Sect. Gov Priorities Fig 2-6 AR'!DK19</f>
        <v>0</v>
      </c>
      <c r="DL19" s="79">
        <f>'Sect. Gov Priorities Fig 2-6 AR'!DL19</f>
        <v>7.1428571428571441</v>
      </c>
      <c r="DM19" s="79" t="str">
        <f>'Sect. Gov Priorities Fig 2-6 AR'!DM19</f>
        <v>-</v>
      </c>
      <c r="DN19" s="79">
        <f>'Sect. Gov Priorities Fig 2-6 AR'!DN19</f>
        <v>10</v>
      </c>
      <c r="DO19" s="79">
        <f>'Sect. Gov Priorities Fig 2-6 AR'!DO19</f>
        <v>28.009259259259263</v>
      </c>
      <c r="DP19" s="79" t="str">
        <f>'Sect. Gov Priorities Fig 2-6 AR'!DP19</f>
        <v>-</v>
      </c>
      <c r="DQ19" s="79">
        <f>'Sect. Gov Priorities Fig 2-6 AR'!DQ19</f>
        <v>21.818181818181817</v>
      </c>
      <c r="DR19" s="79">
        <f>'Sect. Gov Priorities Fig 2-6 AR'!DR19</f>
        <v>12.785388127853883</v>
      </c>
      <c r="DS19" s="79">
        <f>'Sect. Gov Priorities Fig 2-6 AR'!DS19</f>
        <v>0</v>
      </c>
      <c r="DT19" s="79">
        <f>'Sect. Gov Priorities Fig 2-6 AR'!DT19</f>
        <v>0</v>
      </c>
      <c r="DU19" s="79">
        <f>'Sect. Gov Priorities Fig 2-6 AR'!DU19</f>
        <v>28.125000000000007</v>
      </c>
      <c r="DV19" s="79">
        <f>'Sect. Gov Priorities Fig 2-6 AR'!DV19</f>
        <v>0</v>
      </c>
      <c r="DW19" s="79">
        <f>'Sect. Gov Priorities Fig 2-6 AR'!DW19</f>
        <v>100</v>
      </c>
      <c r="DX19" s="79">
        <v>7.511737089201878</v>
      </c>
      <c r="DY19" s="79">
        <v>0</v>
      </c>
      <c r="DZ19" s="79">
        <v>0</v>
      </c>
      <c r="EA19" s="79">
        <v>19.512195121951216</v>
      </c>
      <c r="EB19" s="79">
        <v>12.5</v>
      </c>
      <c r="EC19" s="79">
        <v>51.666666666666671</v>
      </c>
      <c r="ED19" s="79">
        <v>1.8691588785046731</v>
      </c>
      <c r="EE19" s="79">
        <v>0</v>
      </c>
      <c r="EF19" s="79">
        <v>0</v>
      </c>
      <c r="EG19" s="79">
        <v>0</v>
      </c>
      <c r="EH19" s="79">
        <v>0</v>
      </c>
      <c r="EI19" s="79">
        <v>59.016393442622949</v>
      </c>
      <c r="EJ19" s="102">
        <v>1.8018018018018018</v>
      </c>
      <c r="EK19" s="102">
        <v>0</v>
      </c>
      <c r="EL19" s="102">
        <v>0</v>
      </c>
      <c r="EM19" s="102">
        <v>0</v>
      </c>
      <c r="EN19" s="102">
        <v>0</v>
      </c>
      <c r="EO19" s="102">
        <v>40.677966101694921</v>
      </c>
      <c r="EP19" s="102">
        <v>9</v>
      </c>
      <c r="EQ19" s="102">
        <v>0</v>
      </c>
      <c r="ER19" s="102">
        <v>0</v>
      </c>
      <c r="ES19" s="102">
        <v>0</v>
      </c>
      <c r="ET19" s="102">
        <v>0</v>
      </c>
      <c r="EU19" s="102">
        <v>63</v>
      </c>
      <c r="EV19" s="102">
        <v>11.111111111111111</v>
      </c>
      <c r="EW19" s="102">
        <v>0</v>
      </c>
      <c r="EX19" s="102">
        <v>9.67741935483871</v>
      </c>
      <c r="EY19" s="102">
        <v>0</v>
      </c>
      <c r="EZ19" s="102">
        <v>60</v>
      </c>
      <c r="FA19" s="102">
        <v>63.492063492063487</v>
      </c>
    </row>
    <row r="20" spans="1:157" ht="30" customHeight="1" x14ac:dyDescent="0.25">
      <c r="B20" s="140"/>
      <c r="C20" s="141"/>
      <c r="D20" s="141"/>
      <c r="E20" s="141"/>
      <c r="F20" s="141"/>
      <c r="G20" s="142"/>
      <c r="H20" s="140"/>
      <c r="I20" s="141"/>
      <c r="J20" s="141"/>
      <c r="K20" s="141"/>
      <c r="L20" s="141"/>
      <c r="M20" s="142"/>
      <c r="N20" s="140"/>
      <c r="O20" s="141"/>
      <c r="P20" s="141"/>
      <c r="Q20" s="141"/>
      <c r="R20" s="141"/>
      <c r="S20" s="142"/>
      <c r="T20" s="140"/>
      <c r="U20" s="141"/>
      <c r="V20" s="141"/>
      <c r="W20" s="141"/>
      <c r="X20" s="141"/>
      <c r="Y20" s="142"/>
      <c r="Z20" s="140"/>
      <c r="AA20" s="141"/>
      <c r="AB20" s="141"/>
      <c r="AC20" s="141"/>
      <c r="AD20" s="141"/>
      <c r="AE20" s="142"/>
      <c r="AF20" s="140"/>
      <c r="AG20" s="141"/>
      <c r="AH20" s="141"/>
      <c r="AI20" s="141"/>
      <c r="AJ20" s="141"/>
      <c r="AK20" s="142"/>
      <c r="AL20" s="140"/>
      <c r="AM20" s="141"/>
      <c r="AN20" s="141"/>
      <c r="AO20" s="141"/>
      <c r="AP20" s="141"/>
      <c r="AQ20" s="142"/>
      <c r="AR20" s="140"/>
      <c r="AS20" s="141"/>
      <c r="AT20" s="141"/>
      <c r="AU20" s="141"/>
      <c r="AV20" s="141"/>
      <c r="AW20" s="142"/>
      <c r="AX20" s="140"/>
      <c r="AY20" s="141"/>
      <c r="AZ20" s="141"/>
      <c r="BA20" s="141"/>
      <c r="BB20" s="141"/>
      <c r="BC20" s="142"/>
      <c r="BD20" s="140"/>
      <c r="BE20" s="141"/>
      <c r="BF20" s="141"/>
      <c r="BG20" s="141"/>
      <c r="BH20" s="141"/>
      <c r="BI20" s="142"/>
      <c r="BJ20" s="140"/>
      <c r="BK20" s="141"/>
      <c r="BL20" s="141"/>
      <c r="BM20" s="141"/>
      <c r="BN20" s="141"/>
      <c r="BO20" s="142"/>
      <c r="BP20" s="140"/>
      <c r="BQ20" s="141"/>
      <c r="BR20" s="141"/>
      <c r="BS20" s="141"/>
      <c r="BT20" s="141"/>
      <c r="BU20" s="142"/>
      <c r="BV20" s="140"/>
      <c r="BW20" s="141"/>
      <c r="BX20" s="141"/>
      <c r="BY20" s="141"/>
      <c r="BZ20" s="141"/>
      <c r="CA20" s="142"/>
      <c r="CB20" s="140"/>
      <c r="CC20" s="141"/>
      <c r="CD20" s="141"/>
      <c r="CE20" s="141"/>
      <c r="CF20" s="141"/>
      <c r="CG20" s="142"/>
      <c r="CH20" s="140"/>
      <c r="CI20" s="141"/>
      <c r="CJ20" s="141"/>
      <c r="CK20" s="141"/>
      <c r="CL20" s="141"/>
      <c r="CM20" s="142"/>
      <c r="CN20" s="140"/>
      <c r="CO20" s="141"/>
      <c r="CP20" s="141"/>
      <c r="CQ20" s="141"/>
      <c r="CR20" s="141"/>
      <c r="CS20" s="142"/>
      <c r="CT20" s="140"/>
      <c r="CU20" s="141"/>
      <c r="CV20" s="141"/>
      <c r="CW20" s="141"/>
      <c r="CX20" s="141"/>
      <c r="CY20" s="142"/>
      <c r="CZ20" s="140"/>
      <c r="DA20" s="141"/>
      <c r="DB20" s="141"/>
      <c r="DC20" s="141"/>
      <c r="DD20" s="141"/>
      <c r="DE20" s="142"/>
      <c r="DF20" s="140"/>
      <c r="DG20" s="141"/>
      <c r="DH20" s="141"/>
      <c r="DI20" s="141"/>
      <c r="DJ20" s="141"/>
      <c r="DK20" s="142"/>
      <c r="DL20" s="140"/>
      <c r="DM20" s="141"/>
      <c r="DN20" s="141"/>
      <c r="DO20" s="141"/>
      <c r="DP20" s="141"/>
      <c r="DQ20" s="142"/>
    </row>
  </sheetData>
  <mergeCells count="46">
    <mergeCell ref="EP1:EU1"/>
    <mergeCell ref="EV1:FA1"/>
    <mergeCell ref="DL20:DQ20"/>
    <mergeCell ref="AX20:BC20"/>
    <mergeCell ref="BD20:BI20"/>
    <mergeCell ref="BJ20:BO20"/>
    <mergeCell ref="BP20:BU20"/>
    <mergeCell ref="BV20:CA20"/>
    <mergeCell ref="CB20:CG20"/>
    <mergeCell ref="CH20:CM20"/>
    <mergeCell ref="CN20:CS20"/>
    <mergeCell ref="CT20:CY20"/>
    <mergeCell ref="CZ20:DE20"/>
    <mergeCell ref="DF20:DK20"/>
    <mergeCell ref="BJ1:BO1"/>
    <mergeCell ref="CH1:CM1"/>
    <mergeCell ref="B20:G20"/>
    <mergeCell ref="H20:M20"/>
    <mergeCell ref="N20:S20"/>
    <mergeCell ref="T20:Y20"/>
    <mergeCell ref="Z20:AE20"/>
    <mergeCell ref="AF20:AK20"/>
    <mergeCell ref="AL20:AQ20"/>
    <mergeCell ref="AR20:AW20"/>
    <mergeCell ref="BV1:CA1"/>
    <mergeCell ref="CB1:CG1"/>
    <mergeCell ref="AF1:AK1"/>
    <mergeCell ref="AL1:AQ1"/>
    <mergeCell ref="AR1:AW1"/>
    <mergeCell ref="AX1:BC1"/>
    <mergeCell ref="BD1:BI1"/>
    <mergeCell ref="BP1:BU1"/>
    <mergeCell ref="EJ1:EO1"/>
    <mergeCell ref="ED1:EI1"/>
    <mergeCell ref="B1:G1"/>
    <mergeCell ref="H1:M1"/>
    <mergeCell ref="N1:S1"/>
    <mergeCell ref="T1:Y1"/>
    <mergeCell ref="Z1:AE1"/>
    <mergeCell ref="CN1:CS1"/>
    <mergeCell ref="CT1:CY1"/>
    <mergeCell ref="CZ1:DE1"/>
    <mergeCell ref="DX1:EC1"/>
    <mergeCell ref="DR1:DW1"/>
    <mergeCell ref="DF1:DK1"/>
    <mergeCell ref="DL1:DQ1"/>
  </mergeCells>
  <conditionalFormatting sqref="B6:DW19">
    <cfRule type="dataBar" priority="7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{EB670406-6D98-471E-A752-1B91645B400D}</x14:id>
        </ext>
      </extLst>
    </cfRule>
  </conditionalFormatting>
  <conditionalFormatting sqref="B6:EI19">
    <cfRule type="cellIs" dxfId="0" priority="15" operator="equal">
      <formula>"-"</formula>
    </cfRule>
  </conditionalFormatting>
  <conditionalFormatting sqref="DX6:DX19">
    <cfRule type="dataBar" priority="3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{E3C7DDC3-A041-4CF5-99EE-E0B0A1BAF0AC}</x14:id>
        </ext>
      </extLst>
    </cfRule>
  </conditionalFormatting>
  <conditionalFormatting sqref="DY6:DY19">
    <cfRule type="dataBar" priority="3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{569EC94B-FE00-481C-AC28-A63D371FD85A}</x14:id>
        </ext>
      </extLst>
    </cfRule>
  </conditionalFormatting>
  <conditionalFormatting sqref="DZ6:DZ19">
    <cfRule type="dataBar" priority="2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{27C725F4-B427-4D42-93AA-FF554D2F3C8D}</x14:id>
        </ext>
      </extLst>
    </cfRule>
  </conditionalFormatting>
  <conditionalFormatting sqref="EA6:EC19">
    <cfRule type="dataBar" priority="2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{A4888454-4A09-4371-802D-4C1BD572F42D}</x14:id>
        </ext>
      </extLst>
    </cfRule>
  </conditionalFormatting>
  <conditionalFormatting sqref="ED6:ED19">
    <cfRule type="dataBar" priority="2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{08E5FECC-6DCD-4E36-A88D-12C862A015E0}</x14:id>
        </ext>
      </extLst>
    </cfRule>
  </conditionalFormatting>
  <conditionalFormatting sqref="EE6:EE19">
    <cfRule type="dataBar" priority="2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{77F548DB-86AB-4C5B-A6F3-A2EBBF118D98}</x14:id>
        </ext>
      </extLst>
    </cfRule>
  </conditionalFormatting>
  <conditionalFormatting sqref="EF6:EF19">
    <cfRule type="dataBar" priority="2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{4286EDC1-473C-44E0-A009-BFC80CC5AD2B}</x14:id>
        </ext>
      </extLst>
    </cfRule>
  </conditionalFormatting>
  <conditionalFormatting sqref="EG6:EG19">
    <cfRule type="dataBar" priority="1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{F59D2487-8F20-49A5-8859-A88CEBEBDAB3}</x14:id>
        </ext>
      </extLst>
    </cfRule>
  </conditionalFormatting>
  <conditionalFormatting sqref="EH6:EH19">
    <cfRule type="dataBar" priority="1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{ED8FC073-7F79-4B87-9D4C-40F5DC5E85A4}</x14:id>
        </ext>
      </extLst>
    </cfRule>
  </conditionalFormatting>
  <conditionalFormatting sqref="EI6:EI19">
    <cfRule type="dataBar" priority="1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{7D7AC09D-9834-413E-B9D3-DF987EB4A0EF}</x14:id>
        </ext>
      </extLst>
    </cfRule>
  </conditionalFormatting>
  <conditionalFormatting sqref="EJ6:EO19">
    <cfRule type="dataBar" priority="1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{E2708336-1DB6-45FA-9260-3B2D88ECBF38}</x14:id>
        </ext>
      </extLst>
    </cfRule>
  </conditionalFormatting>
  <conditionalFormatting sqref="EP6:EP19">
    <cfRule type="dataBar" priority="1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{E529D78A-E33C-42C6-8BDC-36157163168F}</x14:id>
        </ext>
      </extLst>
    </cfRule>
  </conditionalFormatting>
  <conditionalFormatting sqref="EQ6:EQ19">
    <cfRule type="dataBar" priority="1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{64DB58C7-784C-4268-A5A1-B4A124A0FF61}</x14:id>
        </ext>
      </extLst>
    </cfRule>
  </conditionalFormatting>
  <conditionalFormatting sqref="ER6:ER19">
    <cfRule type="dataBar" priority="1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{84B4E3E1-A7DF-4CA6-8CB3-411ADEC5E988}</x14:id>
        </ext>
      </extLst>
    </cfRule>
  </conditionalFormatting>
  <conditionalFormatting sqref="ES6:ES19">
    <cfRule type="dataBar" priority="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{131181B8-CA73-4587-93C3-B36734938BDE}</x14:id>
        </ext>
      </extLst>
    </cfRule>
  </conditionalFormatting>
  <conditionalFormatting sqref="ET6:ET19">
    <cfRule type="dataBar" priority="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{480B8053-5BF6-46D8-8C20-4A356456790C}</x14:id>
        </ext>
      </extLst>
    </cfRule>
  </conditionalFormatting>
  <conditionalFormatting sqref="EU6:EU19">
    <cfRule type="dataBar" priority="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{99F0BF81-9079-401B-8524-DBC84B803944}</x14:id>
        </ext>
      </extLst>
    </cfRule>
  </conditionalFormatting>
  <conditionalFormatting sqref="EV6:EV19">
    <cfRule type="dataBar" priority="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{E1209478-4D99-4DAA-BBF9-14F7DEAD4CA3}</x14:id>
        </ext>
      </extLst>
    </cfRule>
  </conditionalFormatting>
  <conditionalFormatting sqref="EW6:EW19">
    <cfRule type="dataBar" priority="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{1205F333-30A2-435F-B22F-6E66CB4F38C8}</x14:id>
        </ext>
      </extLst>
    </cfRule>
  </conditionalFormatting>
  <conditionalFormatting sqref="EX6:EX19">
    <cfRule type="dataBar" priority="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{1C92B3D8-CE33-4EE3-BA55-26D32EC2A82D}</x14:id>
        </ext>
      </extLst>
    </cfRule>
  </conditionalFormatting>
  <conditionalFormatting sqref="EY6:EY19">
    <cfRule type="dataBar" priority="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{B38E3F87-E73E-4D38-9B8C-D4BF8A1D3209}</x14:id>
        </ext>
      </extLst>
    </cfRule>
  </conditionalFormatting>
  <conditionalFormatting sqref="EZ6:EZ19">
    <cfRule type="dataBar" priority="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{B7F87E8E-AA0A-47F8-A61F-D17780EBAE40}</x14:id>
        </ext>
      </extLst>
    </cfRule>
  </conditionalFormatting>
  <conditionalFormatting sqref="FA6:FA19">
    <cfRule type="dataBar" priority="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{820E59FC-1815-4686-8948-E772D1FDF0A6}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670406-6D98-471E-A752-1B91645B40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B6:DW19</xm:sqref>
        </x14:conditionalFormatting>
        <x14:conditionalFormatting xmlns:xm="http://schemas.microsoft.com/office/excel/2006/main">
          <x14:cfRule type="dataBar" id="{E3C7DDC3-A041-4CF5-99EE-E0B0A1BAF0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DX6:DX19</xm:sqref>
        </x14:conditionalFormatting>
        <x14:conditionalFormatting xmlns:xm="http://schemas.microsoft.com/office/excel/2006/main">
          <x14:cfRule type="dataBar" id="{569EC94B-FE00-481C-AC28-A63D371FD8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DY6:DY19</xm:sqref>
        </x14:conditionalFormatting>
        <x14:conditionalFormatting xmlns:xm="http://schemas.microsoft.com/office/excel/2006/main">
          <x14:cfRule type="dataBar" id="{27C725F4-B427-4D42-93AA-FF554D2F3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DZ6:DZ19</xm:sqref>
        </x14:conditionalFormatting>
        <x14:conditionalFormatting xmlns:xm="http://schemas.microsoft.com/office/excel/2006/main">
          <x14:cfRule type="dataBar" id="{A4888454-4A09-4371-802D-4C1BD572F4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EA6:EC19</xm:sqref>
        </x14:conditionalFormatting>
        <x14:conditionalFormatting xmlns:xm="http://schemas.microsoft.com/office/excel/2006/main">
          <x14:cfRule type="dataBar" id="{08E5FECC-6DCD-4E36-A88D-12C862A015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ED6:ED19</xm:sqref>
        </x14:conditionalFormatting>
        <x14:conditionalFormatting xmlns:xm="http://schemas.microsoft.com/office/excel/2006/main">
          <x14:cfRule type="dataBar" id="{77F548DB-86AB-4C5B-A6F3-A2EBBF118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EE6:EE19</xm:sqref>
        </x14:conditionalFormatting>
        <x14:conditionalFormatting xmlns:xm="http://schemas.microsoft.com/office/excel/2006/main">
          <x14:cfRule type="dataBar" id="{4286EDC1-473C-44E0-A009-BFC80CC5AD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EF6:EF19</xm:sqref>
        </x14:conditionalFormatting>
        <x14:conditionalFormatting xmlns:xm="http://schemas.microsoft.com/office/excel/2006/main">
          <x14:cfRule type="dataBar" id="{F59D2487-8F20-49A5-8859-A88CEBEBDA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EG6:EG19</xm:sqref>
        </x14:conditionalFormatting>
        <x14:conditionalFormatting xmlns:xm="http://schemas.microsoft.com/office/excel/2006/main">
          <x14:cfRule type="dataBar" id="{ED8FC073-7F79-4B87-9D4C-40F5DC5E85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EH6:EH19</xm:sqref>
        </x14:conditionalFormatting>
        <x14:conditionalFormatting xmlns:xm="http://schemas.microsoft.com/office/excel/2006/main">
          <x14:cfRule type="dataBar" id="{7D7AC09D-9834-413E-B9D3-DF987EB4A0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EI6:EI19</xm:sqref>
        </x14:conditionalFormatting>
        <x14:conditionalFormatting xmlns:xm="http://schemas.microsoft.com/office/excel/2006/main">
          <x14:cfRule type="dataBar" id="{E2708336-1DB6-45FA-9260-3B2D88ECB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EJ6:EO19</xm:sqref>
        </x14:conditionalFormatting>
        <x14:conditionalFormatting xmlns:xm="http://schemas.microsoft.com/office/excel/2006/main">
          <x14:cfRule type="dataBar" id="{E529D78A-E33C-42C6-8BDC-3615716316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EP6:EP19</xm:sqref>
        </x14:conditionalFormatting>
        <x14:conditionalFormatting xmlns:xm="http://schemas.microsoft.com/office/excel/2006/main">
          <x14:cfRule type="dataBar" id="{64DB58C7-784C-4268-A5A1-B4A124A0FF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EQ6:EQ19</xm:sqref>
        </x14:conditionalFormatting>
        <x14:conditionalFormatting xmlns:xm="http://schemas.microsoft.com/office/excel/2006/main">
          <x14:cfRule type="dataBar" id="{84B4E3E1-A7DF-4CA6-8CB3-411ADEC5E9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ER6:ER19</xm:sqref>
        </x14:conditionalFormatting>
        <x14:conditionalFormatting xmlns:xm="http://schemas.microsoft.com/office/excel/2006/main">
          <x14:cfRule type="dataBar" id="{131181B8-CA73-4587-93C3-B36734938B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ES6:ES19</xm:sqref>
        </x14:conditionalFormatting>
        <x14:conditionalFormatting xmlns:xm="http://schemas.microsoft.com/office/excel/2006/main">
          <x14:cfRule type="dataBar" id="{480B8053-5BF6-46D8-8C20-4A35645679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ET6:ET19</xm:sqref>
        </x14:conditionalFormatting>
        <x14:conditionalFormatting xmlns:xm="http://schemas.microsoft.com/office/excel/2006/main">
          <x14:cfRule type="dataBar" id="{99F0BF81-9079-401B-8524-DBC84B8039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EU6:EU19</xm:sqref>
        </x14:conditionalFormatting>
        <x14:conditionalFormatting xmlns:xm="http://schemas.microsoft.com/office/excel/2006/main">
          <x14:cfRule type="dataBar" id="{E1209478-4D99-4DAA-BBF9-14F7DEAD4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EV6:EV19</xm:sqref>
        </x14:conditionalFormatting>
        <x14:conditionalFormatting xmlns:xm="http://schemas.microsoft.com/office/excel/2006/main">
          <x14:cfRule type="dataBar" id="{1205F333-30A2-435F-B22F-6E66CB4F38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EW6:EW19</xm:sqref>
        </x14:conditionalFormatting>
        <x14:conditionalFormatting xmlns:xm="http://schemas.microsoft.com/office/excel/2006/main">
          <x14:cfRule type="dataBar" id="{1C92B3D8-CE33-4EE3-BA55-26D32EC2A8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EX6:EX19</xm:sqref>
        </x14:conditionalFormatting>
        <x14:conditionalFormatting xmlns:xm="http://schemas.microsoft.com/office/excel/2006/main">
          <x14:cfRule type="dataBar" id="{B38E3F87-E73E-4D38-9B8C-D4BF8A1D32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EY6:EY19</xm:sqref>
        </x14:conditionalFormatting>
        <x14:conditionalFormatting xmlns:xm="http://schemas.microsoft.com/office/excel/2006/main">
          <x14:cfRule type="dataBar" id="{B7F87E8E-AA0A-47F8-A61F-D17780EBAE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EZ6:EZ19</xm:sqref>
        </x14:conditionalFormatting>
        <x14:conditionalFormatting xmlns:xm="http://schemas.microsoft.com/office/excel/2006/main">
          <x14:cfRule type="dataBar" id="{820E59FC-1815-4686-8948-E772D1FDF0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FA6:FA19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P3:S24"/>
  <sheetViews>
    <sheetView rightToLeft="1" zoomScaleNormal="100" workbookViewId="0">
      <selection activeCell="S3" sqref="P3:S10"/>
    </sheetView>
  </sheetViews>
  <sheetFormatPr defaultRowHeight="15" x14ac:dyDescent="0.25"/>
  <sheetData>
    <row r="3" spans="16:19" x14ac:dyDescent="0.25">
      <c r="P3" s="114" t="s">
        <v>242</v>
      </c>
      <c r="Q3" s="114" t="s">
        <v>240</v>
      </c>
      <c r="R3" s="114" t="s">
        <v>241</v>
      </c>
      <c r="S3" s="115" t="s">
        <v>243</v>
      </c>
    </row>
    <row r="4" spans="16:19" x14ac:dyDescent="0.25">
      <c r="P4" s="97"/>
      <c r="Q4" s="97"/>
      <c r="R4" s="97"/>
      <c r="S4" s="113" t="s">
        <v>40</v>
      </c>
    </row>
    <row r="5" spans="16:19" x14ac:dyDescent="0.25">
      <c r="P5" s="97"/>
      <c r="Q5" s="97"/>
      <c r="R5" s="97"/>
      <c r="S5" s="112" t="s">
        <v>232</v>
      </c>
    </row>
    <row r="6" spans="16:19" x14ac:dyDescent="0.25">
      <c r="P6" s="97"/>
      <c r="Q6" s="97"/>
      <c r="R6" s="97"/>
      <c r="S6" s="112" t="s">
        <v>230</v>
      </c>
    </row>
    <row r="7" spans="16:19" x14ac:dyDescent="0.25">
      <c r="P7" s="97"/>
      <c r="Q7" s="97"/>
      <c r="R7" s="97"/>
      <c r="S7" s="112" t="s">
        <v>231</v>
      </c>
    </row>
    <row r="8" spans="16:19" x14ac:dyDescent="0.25">
      <c r="P8" s="97"/>
      <c r="Q8" s="97"/>
      <c r="R8" s="97"/>
      <c r="S8" s="85" t="s">
        <v>229</v>
      </c>
    </row>
    <row r="9" spans="16:19" x14ac:dyDescent="0.25">
      <c r="P9" s="97"/>
      <c r="Q9" s="97"/>
      <c r="R9" s="97"/>
      <c r="S9" s="112" t="s">
        <v>278</v>
      </c>
    </row>
    <row r="10" spans="16:19" x14ac:dyDescent="0.25">
      <c r="P10" s="97"/>
      <c r="Q10" s="97"/>
      <c r="R10" s="97"/>
      <c r="S10" s="85" t="s">
        <v>279</v>
      </c>
    </row>
    <row r="17" spans="16:19" x14ac:dyDescent="0.25">
      <c r="P17" s="114" t="s">
        <v>282</v>
      </c>
      <c r="Q17" s="114" t="s">
        <v>281</v>
      </c>
      <c r="R17" s="114" t="s">
        <v>280</v>
      </c>
      <c r="S17" s="115" t="s">
        <v>243</v>
      </c>
    </row>
    <row r="18" spans="16:19" x14ac:dyDescent="0.25">
      <c r="P18" s="118">
        <v>64.166666666666671</v>
      </c>
      <c r="Q18" s="116">
        <v>35.833333333333336</v>
      </c>
      <c r="R18" s="118">
        <v>0</v>
      </c>
      <c r="S18" s="113" t="s">
        <v>152</v>
      </c>
    </row>
    <row r="19" spans="16:19" x14ac:dyDescent="0.25">
      <c r="P19" s="118">
        <v>6.666666666666667</v>
      </c>
      <c r="Q19" s="97">
        <v>60</v>
      </c>
      <c r="R19" s="97">
        <v>33.333333333333329</v>
      </c>
      <c r="S19" s="112" t="s">
        <v>68</v>
      </c>
    </row>
    <row r="20" spans="16:19" x14ac:dyDescent="0.25">
      <c r="P20" s="118">
        <v>5</v>
      </c>
      <c r="Q20" s="97">
        <v>55.000000000000007</v>
      </c>
      <c r="R20" s="97">
        <v>40</v>
      </c>
      <c r="S20" s="112" t="s">
        <v>283</v>
      </c>
    </row>
    <row r="21" spans="16:19" x14ac:dyDescent="0.25">
      <c r="P21" s="118">
        <v>0</v>
      </c>
      <c r="Q21" s="97">
        <v>65</v>
      </c>
      <c r="R21" s="97">
        <v>35</v>
      </c>
      <c r="S21" s="112" t="s">
        <v>284</v>
      </c>
    </row>
    <row r="22" spans="16:19" x14ac:dyDescent="0.25">
      <c r="P22" s="118">
        <v>80.672268907563023</v>
      </c>
      <c r="Q22" s="97">
        <v>14.285714285714285</v>
      </c>
      <c r="R22" s="97">
        <v>5.0420168067226889</v>
      </c>
      <c r="S22" s="85" t="s">
        <v>267</v>
      </c>
    </row>
    <row r="23" spans="16:19" x14ac:dyDescent="0.25">
      <c r="P23" s="118">
        <v>0.83333333333333337</v>
      </c>
      <c r="Q23" s="97">
        <v>94.166666666666671</v>
      </c>
      <c r="R23" s="97">
        <v>5</v>
      </c>
      <c r="S23" s="112" t="s">
        <v>285</v>
      </c>
    </row>
    <row r="24" spans="16:19" x14ac:dyDescent="0.25">
      <c r="P24" s="118">
        <v>0</v>
      </c>
      <c r="Q24" s="97">
        <v>46.666666666666664</v>
      </c>
      <c r="R24" s="97">
        <v>53.333333333333336</v>
      </c>
      <c r="S24" s="85" t="s">
        <v>286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BConstraints Fig 2-1 &amp; 2-2 </vt:lpstr>
      <vt:lpstr>Sectoral Constraints Fig 2-3 AR</vt:lpstr>
      <vt:lpstr>Sectoral Constraints Fig 2-3 EN</vt:lpstr>
      <vt:lpstr>Gov Priorities Fig 2-4 &amp; 2.5</vt:lpstr>
      <vt:lpstr>Sect. Gov Priorities Fig 2-6 AR</vt:lpstr>
      <vt:lpstr>Sect. Gov Priorities Fig 2-6 EN</vt:lpstr>
      <vt:lpstr>PExpections Fig 2-7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2025-11-24T12:36:20Z</dcterms:modified>
</cp:coreProperties>
</file>